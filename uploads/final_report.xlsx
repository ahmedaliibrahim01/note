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Vardiya" sheetId="2" state="visible" r:id="rId2"/>
    <sheet name="Note" sheetId="3" state="visible" r:id="rId3"/>
    <sheet name="UserCodes" sheetId="4" state="visible" r:id="rId4"/>
    <sheet name="Full Students" sheetId="5" state="visible" r:id="rId5"/>
    <sheet name="Abdulkadir, Nadra" sheetId="6" state="visible" r:id="rId6"/>
    <sheet name="Yusuf, Khadija" sheetId="7" state="visible" r:id="rId7"/>
    <sheet name="Kadir, Hamdi" sheetId="8" state="visible" r:id="rId8"/>
    <sheet name="Mohamed, Sumaya" sheetId="9" state="visible" r:id="rId9"/>
    <sheet name="Yusuf 2, Khadra" sheetId="10" state="visible" r:id="rId10"/>
    <sheet name="Abdi, Samira" sheetId="11" state="visible" r:id="rId11"/>
    <sheet name="Abdi, Mohamed" sheetId="12" state="visible" r:id="rId12"/>
    <sheet name="Abdi, Salman" sheetId="13" state="visible" r:id="rId13"/>
    <sheet name="Abdullahi, Abdirahman" sheetId="14" state="visible" r:id="rId14"/>
    <sheet name="Ali, Saami" sheetId="15" state="visible" r:id="rId15"/>
    <sheet name="Abdi, Safia" sheetId="16" state="visible" r:id="rId16"/>
    <sheet name="Sulub, Sharmake" sheetId="17" state="visible" r:id="rId17"/>
    <sheet name="Jama, Khadija" sheetId="18" state="visible" r:id="rId18"/>
    <sheet name="Abdi, Ahmed" sheetId="19" state="visible" r:id="rId19"/>
    <sheet name="Omar, Abdiweli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Service Date</t>
        </is>
      </c>
      <c r="C1" s="1" t="inlineStr">
        <is>
          <t>Session Time</t>
        </is>
      </c>
      <c r="D1" s="1" t="inlineStr">
        <is>
          <t>Session Duration</t>
        </is>
      </c>
      <c r="E1" s="1" t="inlineStr">
        <is>
          <t>Hours</t>
        </is>
      </c>
      <c r="F1" s="1" t="inlineStr">
        <is>
          <t>Pay</t>
        </is>
      </c>
      <c r="G1" s="1" t="inlineStr">
        <is>
          <t>Units</t>
        </is>
      </c>
      <c r="H1" s="1" t="inlineStr">
        <is>
          <t>FNF</t>
        </is>
      </c>
      <c r="I1" s="1" t="inlineStr">
        <is>
          <t>Code</t>
        </is>
      </c>
      <c r="J1" s="1" t="inlineStr">
        <is>
          <t>Charged Amount</t>
        </is>
      </c>
      <c r="K1" s="1" t="inlineStr">
        <is>
          <t>User</t>
        </is>
      </c>
      <c r="L1" s="1" t="inlineStr">
        <is>
          <t>Level</t>
        </is>
      </c>
      <c r="M1" s="1" t="inlineStr">
        <is>
          <t>Note</t>
        </is>
      </c>
      <c r="N1" s="1" t="inlineStr">
        <is>
          <t>Unbilled notes</t>
        </is>
      </c>
      <c r="O1" s="1" t="inlineStr">
        <is>
          <t>Expiration Date</t>
        </is>
      </c>
    </row>
    <row r="2">
      <c r="A2" t="inlineStr">
        <is>
          <t>Abdi, Ahmed</t>
        </is>
      </c>
      <c r="B2" s="3" t="n">
        <v>46014</v>
      </c>
      <c r="C2" t="inlineStr">
        <is>
          <t>03:30pm - 08:00pm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1/1 
97153</t>
        </is>
      </c>
      <c r="J2">
        <f>IF(L2="Level 1", VLOOKUP(I2, UserCodes!E:F, 2, FALSE) * H2, IF(L2="Level 2", VLOOKUP(I2, UserCodes!E:F, 2, FALSE) * H2 * 0.8, 0))</f>
        <v/>
      </c>
      <c r="K2" t="inlineStr">
        <is>
          <t>Ibrahim, Ahmed</t>
        </is>
      </c>
      <c r="L2">
        <f>VLOOKUP(K2, UserCodes!A:B, 2, FALSE)</f>
        <v/>
      </c>
      <c r="M2" t="inlineStr">
        <is>
          <t>No note</t>
        </is>
      </c>
    </row>
    <row r="3">
      <c r="A3" t="inlineStr">
        <is>
          <t>Abdi, Ahmed</t>
        </is>
      </c>
      <c r="B3" s="3" t="n">
        <v>46013</v>
      </c>
      <c r="C3" t="inlineStr">
        <is>
          <t>04:00pm - 07:00pm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O&amp;D 
97155</t>
        </is>
      </c>
      <c r="J3">
        <f>IF(L3="Level 1", VLOOKUP(I3, UserCodes!E:F, 2, FALSE) * H3, IF(L3="Level 2", VLOOKUP(I3, UserCodes!E:F, 2, FALSE) * H3 * 0.8, 0))</f>
        <v/>
      </c>
      <c r="K3" t="inlineStr">
        <is>
          <t>Ibrahim, Ahmed</t>
        </is>
      </c>
      <c r="L3">
        <f>VLOOKUP(K3, UserCodes!A:B, 2, FALSE)</f>
        <v/>
      </c>
      <c r="M3" t="inlineStr">
        <is>
          <t>No note</t>
        </is>
      </c>
    </row>
    <row r="4">
      <c r="A4" t="inlineStr">
        <is>
          <t>Abdi, Ahmed</t>
        </is>
      </c>
      <c r="B4" s="3" t="n">
        <v>46003</v>
      </c>
      <c r="C4" t="inlineStr">
        <is>
          <t>05:00pm - 06:00pm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1/1 
97153</t>
        </is>
      </c>
      <c r="J4">
        <f>IF(L4="Level 1", VLOOKUP(I4, UserCodes!E:F, 2, FALSE) * H4, IF(L4="Level 2", VLOOKUP(I4, UserCodes!E:F, 2, FALSE) * H4 * 0.8, 0))</f>
        <v/>
      </c>
      <c r="K4" t="inlineStr">
        <is>
          <t>Abdulle, Zamzam</t>
        </is>
      </c>
      <c r="L4">
        <f>VLOOKUP(K4, UserCodes!A:B, 2, FALSE)</f>
        <v/>
      </c>
      <c r="M4" t="inlineStr">
        <is>
          <t>No note</t>
        </is>
      </c>
    </row>
    <row r="5">
      <c r="A5" t="inlineStr">
        <is>
          <t>Abdi, Mohamed</t>
        </is>
      </c>
      <c r="B5" s="3" t="n">
        <v>46013</v>
      </c>
      <c r="C5" t="inlineStr">
        <is>
          <t>03:00pm - 08:00pm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1/1 
97153</t>
        </is>
      </c>
      <c r="J5">
        <f>IF(L5="Level 1", VLOOKUP(I5, UserCodes!E:F, 2, FALSE) * H5, IF(L5="Level 2", VLOOKUP(I5, UserCodes!E:F, 2, FALSE) * H5 * 0.8, 0))</f>
        <v/>
      </c>
      <c r="K5" t="inlineStr">
        <is>
          <t>Mohamed, Mohamed</t>
        </is>
      </c>
      <c r="L5">
        <f>VLOOKUP(K5, UserCodes!A:B, 2, FALSE)</f>
        <v/>
      </c>
      <c r="M5" t="inlineStr">
        <is>
          <t>No note</t>
        </is>
      </c>
    </row>
    <row r="6">
      <c r="A6" t="inlineStr">
        <is>
          <t>Abdi, Mohamed</t>
        </is>
      </c>
      <c r="B6" s="3" t="n">
        <v>46013</v>
      </c>
      <c r="C6" t="inlineStr">
        <is>
          <t>07:00pm - 08:00pm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O&amp;D 
97155</t>
        </is>
      </c>
      <c r="J6">
        <f>IF(L6="Level 1", VLOOKUP(I6, UserCodes!E:F, 2, FALSE) * H6, IF(L6="Level 2", VLOOKUP(I6, UserCodes!E:F, 2, FALSE) * H6 * 0.8, 0))</f>
        <v/>
      </c>
      <c r="K6" t="inlineStr">
        <is>
          <t>Ibrahim, Ahmed</t>
        </is>
      </c>
      <c r="L6">
        <f>VLOOKUP(K6, UserCodes!A:B, 2, FALSE)</f>
        <v/>
      </c>
      <c r="M6" t="inlineStr">
        <is>
          <t>No note</t>
        </is>
      </c>
    </row>
    <row r="7">
      <c r="A7" t="inlineStr">
        <is>
          <t>Abdi, Safia</t>
        </is>
      </c>
      <c r="B7" s="3" t="n">
        <v>46014</v>
      </c>
      <c r="C7" t="inlineStr">
        <is>
          <t>04:30pm - 06:30pm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O&amp;D 
97155</t>
        </is>
      </c>
      <c r="J7">
        <f>IF(L7="Level 1", VLOOKUP(I7, UserCodes!E:F, 2, FALSE) * H7, IF(L7="Level 2", VLOOKUP(I7, UserCodes!E:F, 2, FALSE) * H7 * 0.8, 0))</f>
        <v/>
      </c>
      <c r="K7" t="inlineStr">
        <is>
          <t>mohamed, Madar</t>
        </is>
      </c>
      <c r="L7">
        <f>VLOOKUP(K7, UserCodes!A:B, 2, FALSE)</f>
        <v/>
      </c>
      <c r="M7" t="inlineStr">
        <is>
          <t>No note</t>
        </is>
      </c>
    </row>
    <row r="8">
      <c r="A8" t="inlineStr">
        <is>
          <t>Abdi, Safia</t>
        </is>
      </c>
      <c r="B8" s="3" t="n">
        <v>46012</v>
      </c>
      <c r="C8" t="inlineStr">
        <is>
          <t>01:30 AM - 03:45 PM</t>
        </is>
      </c>
      <c r="D8" t="inlineStr">
        <is>
          <t>14:15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J8">
        <f>IF(L8="Level 1", VLOOKUP(I8, UserCodes!E:F, 2, FALSE) * H8, IF(L8="Level 2", VLOOKUP(I8, UserCodes!E:F, 2, FALSE) * H8 * 0.8, 0))</f>
        <v/>
      </c>
      <c r="K8" t="inlineStr">
        <is>
          <t>Ahmed, Jama</t>
        </is>
      </c>
      <c r="L8">
        <f>VLOOKUP(K8, UserCodes!A:B, 2, FALSE)</f>
        <v/>
      </c>
      <c r="M8" t="inlineStr">
        <is>
          <t>No schedule</t>
        </is>
      </c>
    </row>
    <row r="9">
      <c r="A9" t="inlineStr">
        <is>
          <t>Abdi, Safia</t>
        </is>
      </c>
      <c r="B9" s="3" t="n">
        <v>46013</v>
      </c>
      <c r="C9" t="inlineStr">
        <is>
          <t>02:00pm - 04:00pm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O&amp;D 
97155</t>
        </is>
      </c>
      <c r="J9">
        <f>IF(L9="Level 1", VLOOKUP(I9, UserCodes!E:F, 2, FALSE) * H9, IF(L9="Level 2", VLOOKUP(I9, UserCodes!E:F, 2, FALSE) * H9 * 0.8, 0))</f>
        <v/>
      </c>
      <c r="K9" t="inlineStr">
        <is>
          <t>Ibrahim, Ahmed</t>
        </is>
      </c>
      <c r="L9">
        <f>VLOOKUP(K9, UserCodes!A:B, 2, FALSE)</f>
        <v/>
      </c>
      <c r="M9" t="inlineStr">
        <is>
          <t>No note</t>
        </is>
      </c>
    </row>
    <row r="10">
      <c r="A10" t="inlineStr">
        <is>
          <t>Abdi, Safia</t>
        </is>
      </c>
      <c r="B10" s="3" t="n">
        <v>46013</v>
      </c>
      <c r="C10" t="inlineStr">
        <is>
          <t>02:00pm - 08:00pm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1/1 
97153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Muse, Nawaal</t>
        </is>
      </c>
      <c r="L10">
        <f>VLOOKUP(K10, UserCodes!A:B, 2, FALSE)</f>
        <v/>
      </c>
      <c r="M10" t="inlineStr">
        <is>
          <t>No note</t>
        </is>
      </c>
    </row>
    <row r="11">
      <c r="A11" t="inlineStr">
        <is>
          <t>Abdi, Safia</t>
        </is>
      </c>
      <c r="B11" s="3" t="n">
        <v>46008</v>
      </c>
      <c r="C11" t="inlineStr">
        <is>
          <t>09:45 AM - 11:30 AM</t>
        </is>
      </c>
      <c r="D11" t="inlineStr">
        <is>
          <t>01:45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J11">
        <f>IF(L11="Level 1", VLOOKUP(I11, UserCodes!E:F, 2, FALSE) * H11, IF(L11="Level 2", VLOOKUP(I11, UserCodes!E:F, 2, FALSE) * H11 * 0.8, 0))</f>
        <v/>
      </c>
      <c r="K11" t="inlineStr">
        <is>
          <t>Ahmed, Jama</t>
        </is>
      </c>
      <c r="L11">
        <f>VLOOKUP(K11, UserCodes!A:B, 2, FALSE)</f>
        <v/>
      </c>
      <c r="M11" t="inlineStr">
        <is>
          <t>No schedule</t>
        </is>
      </c>
    </row>
    <row r="12">
      <c r="A12" t="inlineStr">
        <is>
          <t>Abdi, Safia</t>
        </is>
      </c>
      <c r="B12" s="3" t="n">
        <v>46004</v>
      </c>
      <c r="C12" t="inlineStr">
        <is>
          <t>09:00 AM - 11:30 AM</t>
        </is>
      </c>
      <c r="D12" t="inlineStr">
        <is>
          <t>02:30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J12">
        <f>IF(L12="Level 1", VLOOKUP(I12, UserCodes!E:F, 2, FALSE) * H12, IF(L12="Level 2", VLOOKUP(I12, UserCodes!E:F, 2, FALSE) * H12 * 0.8, 0))</f>
        <v/>
      </c>
      <c r="K12" t="inlineStr">
        <is>
          <t>Ahmed, Jama</t>
        </is>
      </c>
      <c r="L12">
        <f>VLOOKUP(K12, UserCodes!A:B, 2, FALSE)</f>
        <v/>
      </c>
      <c r="M12" t="inlineStr">
        <is>
          <t>No schedule</t>
        </is>
      </c>
    </row>
    <row r="13">
      <c r="A13" t="inlineStr">
        <is>
          <t>Abdi, Safia</t>
        </is>
      </c>
      <c r="B13" s="3" t="n">
        <v>46002</v>
      </c>
      <c r="C13" t="inlineStr">
        <is>
          <t>01:28 PM - 03:50 PM</t>
        </is>
      </c>
      <c r="D13" t="inlineStr">
        <is>
          <t>02:22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J13">
        <f>IF(L13="Level 1", VLOOKUP(I13, UserCodes!E:F, 2, FALSE) * H13, IF(L13="Level 2", VLOOKUP(I13, UserCodes!E:F, 2, FALSE) * H13 * 0.8, 0))</f>
        <v/>
      </c>
      <c r="K13" t="inlineStr">
        <is>
          <t>Ahmed, Jama</t>
        </is>
      </c>
      <c r="L13">
        <f>VLOOKUP(K13, UserCodes!A:B, 2, FALSE)</f>
        <v/>
      </c>
      <c r="M13" t="inlineStr">
        <is>
          <t>No schedule</t>
        </is>
      </c>
    </row>
    <row r="14">
      <c r="A14" t="inlineStr">
        <is>
          <t>Abdi, Safia</t>
        </is>
      </c>
      <c r="B14" s="3" t="n">
        <v>46003</v>
      </c>
      <c r="C14" t="inlineStr">
        <is>
          <t>04:00 PM - 05:00 PM</t>
        </is>
      </c>
      <c r="D14" t="inlineStr">
        <is>
          <t>01:00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J14">
        <f>IF(L14="Level 1", VLOOKUP(I14, UserCodes!E:F, 2, FALSE) * H14, IF(L14="Level 2", VLOOKUP(I14, UserCodes!E:F, 2, FALSE) * H14 * 0.8, 0))</f>
        <v/>
      </c>
      <c r="K14" t="inlineStr">
        <is>
          <t>El-Tay, Dr. Ismael</t>
        </is>
      </c>
      <c r="L14">
        <f>VLOOKUP(K14, UserCodes!A:B, 2, FALSE)</f>
        <v/>
      </c>
      <c r="M14" t="inlineStr">
        <is>
          <t>No schedule</t>
        </is>
      </c>
    </row>
    <row r="15">
      <c r="A15" t="inlineStr">
        <is>
          <t>Abdi, Salman</t>
        </is>
      </c>
      <c r="B15" s="3" t="n">
        <v>46014</v>
      </c>
      <c r="C15" t="inlineStr">
        <is>
          <t>12:00pm - 04:00pm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1/1 
97153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Abdulle, Zamzam</t>
        </is>
      </c>
      <c r="L15">
        <f>VLOOKUP(K15, UserCodes!A:B, 2, FALSE)</f>
        <v/>
      </c>
      <c r="M15" t="inlineStr">
        <is>
          <t>No note</t>
        </is>
      </c>
    </row>
    <row r="16">
      <c r="A16" t="inlineStr">
        <is>
          <t>Abdi, Salman</t>
        </is>
      </c>
      <c r="B16" s="3" t="n">
        <v>46014</v>
      </c>
      <c r="C16" t="inlineStr">
        <is>
          <t>04:30 PM - 06:30 PM</t>
        </is>
      </c>
      <c r="D16" t="inlineStr">
        <is>
          <t>02:00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J16">
        <f>IF(L16="Level 1", VLOOKUP(I16, UserCodes!E:F, 2, FALSE) * H16, IF(L16="Level 2", VLOOKUP(I16, UserCodes!E:F, 2, FALSE) * H16 * 0.8, 0))</f>
        <v/>
      </c>
      <c r="K16" t="inlineStr">
        <is>
          <t>Mohamed, Madar</t>
        </is>
      </c>
      <c r="L16">
        <f>VLOOKUP(K16, UserCodes!A:B, 2, FALSE)</f>
        <v/>
      </c>
      <c r="M16" t="inlineStr">
        <is>
          <t>No schedule</t>
        </is>
      </c>
    </row>
    <row r="17">
      <c r="A17" t="inlineStr">
        <is>
          <t>Abdi, Salman</t>
        </is>
      </c>
      <c r="B17" s="3" t="n">
        <v>46014</v>
      </c>
      <c r="C17" t="inlineStr">
        <is>
          <t>09:00 AM - 11:45 AM</t>
        </is>
      </c>
      <c r="D17" t="inlineStr">
        <is>
          <t>02:45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J17">
        <f>IF(L17="Level 1", VLOOKUP(I17, UserCodes!E:F, 2, FALSE) * H17, IF(L17="Level 2", VLOOKUP(I17, UserCodes!E:F, 2, FALSE) * H17 * 0.8, 0))</f>
        <v/>
      </c>
      <c r="K17" t="inlineStr">
        <is>
          <t>Ahmed, Jama</t>
        </is>
      </c>
      <c r="L17">
        <f>VLOOKUP(K17, UserCodes!A:B, 2, FALSE)</f>
        <v/>
      </c>
      <c r="M17" t="inlineStr">
        <is>
          <t>No schedule</t>
        </is>
      </c>
    </row>
    <row r="18">
      <c r="A18" t="inlineStr">
        <is>
          <t>Abdi, Samira</t>
        </is>
      </c>
      <c r="B18" s="3" t="n">
        <v>46003</v>
      </c>
      <c r="C18" t="inlineStr">
        <is>
          <t>04:00pm - 08:00pm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Abdulle, Zamzam</t>
        </is>
      </c>
      <c r="L18">
        <f>VLOOKUP(K18, UserCodes!A:B, 2, FALSE)</f>
        <v/>
      </c>
      <c r="M18" t="inlineStr">
        <is>
          <t>No note</t>
        </is>
      </c>
    </row>
    <row r="19">
      <c r="A19" t="inlineStr">
        <is>
          <t>Abdi, Samira</t>
        </is>
      </c>
      <c r="B19" s="3" t="n">
        <v>46003</v>
      </c>
      <c r="C19" t="inlineStr">
        <is>
          <t>09:00 AM - 11:30 AM</t>
        </is>
      </c>
      <c r="D19" t="inlineStr">
        <is>
          <t>02:30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J19">
        <f>IF(L19="Level 1", VLOOKUP(I19, UserCodes!E:F, 2, FALSE) * H19, IF(L19="Level 2", VLOOKUP(I19, UserCodes!E:F, 2, FALSE) * H19 * 0.8, 0))</f>
        <v/>
      </c>
      <c r="K19" t="inlineStr">
        <is>
          <t>Ahmed, Jama</t>
        </is>
      </c>
      <c r="L19">
        <f>VLOOKUP(K19, UserCodes!A:B, 2, FALSE)</f>
        <v/>
      </c>
      <c r="M19" t="inlineStr">
        <is>
          <t>No schedule</t>
        </is>
      </c>
    </row>
    <row r="20">
      <c r="A20" t="inlineStr">
        <is>
          <t>Abdi, Samira</t>
        </is>
      </c>
      <c r="B20" s="3" t="n">
        <v>46002</v>
      </c>
      <c r="C20" t="inlineStr">
        <is>
          <t>05:00 PM - 06:00 PM</t>
        </is>
      </c>
      <c r="D20" t="inlineStr">
        <is>
          <t>01:00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J20">
        <f>IF(L20="Level 1", VLOOKUP(I20, UserCodes!E:F, 2, FALSE) * H20, IF(L20="Level 2", VLOOKUP(I20, UserCodes!E:F, 2, FALSE) * H20 * 0.8, 0))</f>
        <v/>
      </c>
      <c r="K20" t="inlineStr">
        <is>
          <t>El-Tay, Dr. Ismael</t>
        </is>
      </c>
      <c r="L20">
        <f>VLOOKUP(K20, UserCodes!A:B, 2, FALSE)</f>
        <v/>
      </c>
      <c r="M20" t="inlineStr">
        <is>
          <t>No schedule</t>
        </is>
      </c>
    </row>
    <row r="21">
      <c r="A21" t="inlineStr">
        <is>
          <t>Abdi, Samira</t>
        </is>
      </c>
      <c r="B21" s="3" t="n">
        <v>46013</v>
      </c>
      <c r="C21" t="inlineStr">
        <is>
          <t>09:30 AM - 11:45 AM</t>
        </is>
      </c>
      <c r="D21" t="inlineStr">
        <is>
          <t>02:15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J21">
        <f>IF(L21="Level 1", VLOOKUP(I21, UserCodes!E:F, 2, FALSE) * H21, IF(L21="Level 2", VLOOKUP(I21, UserCodes!E:F, 2, FALSE) * H21 * 0.8, 0))</f>
        <v/>
      </c>
      <c r="K21" t="inlineStr">
        <is>
          <t>Ahmed, Jama</t>
        </is>
      </c>
      <c r="L21">
        <f>VLOOKUP(K21, UserCodes!A:B, 2, FALSE)</f>
        <v/>
      </c>
      <c r="M21" t="inlineStr">
        <is>
          <t>No schedule</t>
        </is>
      </c>
    </row>
    <row r="22">
      <c r="A22" t="inlineStr">
        <is>
          <t>Abdi, Samira</t>
        </is>
      </c>
      <c r="B22" s="3" t="n">
        <v>46001</v>
      </c>
      <c r="C22" t="inlineStr">
        <is>
          <t>10:00 AM - 12:30 PM</t>
        </is>
      </c>
      <c r="D22" t="inlineStr">
        <is>
          <t>02:30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J22">
        <f>IF(L22="Level 1", VLOOKUP(I22, UserCodes!E:F, 2, FALSE) * H22, IF(L22="Level 2", VLOOKUP(I22, UserCodes!E:F, 2, FALSE) * H22 * 0.8, 0))</f>
        <v/>
      </c>
      <c r="K22" t="inlineStr">
        <is>
          <t>Ahmed, Jama</t>
        </is>
      </c>
      <c r="L22">
        <f>VLOOKUP(K22, UserCodes!A:B, 2, FALSE)</f>
        <v/>
      </c>
      <c r="M22" t="inlineStr">
        <is>
          <t>No schedule</t>
        </is>
      </c>
    </row>
    <row r="23">
      <c r="A23" t="inlineStr">
        <is>
          <t>Abdi, Samira</t>
        </is>
      </c>
      <c r="B23" s="3" t="n">
        <v>46009</v>
      </c>
      <c r="C23" t="inlineStr">
        <is>
          <t>12:55 PM - 03:10 PM</t>
        </is>
      </c>
      <c r="D23" t="inlineStr">
        <is>
          <t>02:15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J23">
        <f>IF(L23="Level 1", VLOOKUP(I23, UserCodes!E:F, 2, FALSE) * H23, IF(L23="Level 2", VLOOKUP(I23, UserCodes!E:F, 2, FALSE) * H23 * 0.8, 0))</f>
        <v/>
      </c>
      <c r="K23" t="inlineStr">
        <is>
          <t>Ahmed, Jama</t>
        </is>
      </c>
      <c r="L23">
        <f>VLOOKUP(K23, UserCodes!A:B, 2, FALSE)</f>
        <v/>
      </c>
      <c r="M23" t="inlineStr">
        <is>
          <t>No schedule</t>
        </is>
      </c>
    </row>
    <row r="24">
      <c r="A24" t="inlineStr">
        <is>
          <t>Abdi, Samira</t>
        </is>
      </c>
      <c r="B24" s="3" t="n">
        <v>46009</v>
      </c>
      <c r="C24" t="inlineStr">
        <is>
          <t>04:00pm - 05:00pm</t>
        </is>
      </c>
      <c r="E24">
        <f>HOUR(D24)+MINUTE(D24)/100</f>
        <v/>
      </c>
      <c r="F24">
        <f>ROUND(INT(E24) + (E24 - INT(E24)) * 100 / 60, 2)</f>
        <v/>
      </c>
      <c r="G24">
        <f>E24*4</f>
        <v/>
      </c>
      <c r="H24">
        <f>LET(total, INT(E24)*60 + (E24-INT(E24))*100, blocks, QUOTIENT(total, 15), extra, MOD(total, 15), units, blocks + IF(extra&gt;=8, 1, 0), units)</f>
        <v/>
      </c>
      <c r="I24" t="inlineStr">
        <is>
          <t>1/1 
97153</t>
        </is>
      </c>
      <c r="J24">
        <f>IF(L24="Level 1", VLOOKUP(I24, UserCodes!E:F, 2, FALSE) * H24, IF(L24="Level 2", VLOOKUP(I24, UserCodes!E:F, 2, FALSE) * H24 * 0.8, 0))</f>
        <v/>
      </c>
      <c r="K24" t="inlineStr">
        <is>
          <t>Abdulle, Zamzam</t>
        </is>
      </c>
      <c r="L24">
        <f>VLOOKUP(K24, UserCodes!A:B, 2, FALSE)</f>
        <v/>
      </c>
      <c r="M24" t="inlineStr">
        <is>
          <t>No note</t>
        </is>
      </c>
    </row>
    <row r="25">
      <c r="A25" t="inlineStr">
        <is>
          <t>Abdi, Samira</t>
        </is>
      </c>
      <c r="B25" s="3" t="n">
        <v>46007</v>
      </c>
      <c r="C25" t="inlineStr">
        <is>
          <t>01:35 PM - 03:55 PM</t>
        </is>
      </c>
      <c r="D25" t="inlineStr">
        <is>
          <t>02:20</t>
        </is>
      </c>
      <c r="E25">
        <f>HOUR(D25)+MINUTE(D25)/100</f>
        <v/>
      </c>
      <c r="F25">
        <f>ROUND(INT(E25) + (E25 - INT(E25)) * 100 / 60, 2)</f>
        <v/>
      </c>
      <c r="G25">
        <f>E25*4</f>
        <v/>
      </c>
      <c r="H25">
        <f>LET(total, INT(E25)*60 + (E25-INT(E25))*100, blocks, QUOTIENT(total, 15), extra, MOD(total, 15), units, blocks + IF(extra&gt;=8, 1, 0), units)</f>
        <v/>
      </c>
      <c r="J25">
        <f>IF(L25="Level 1", VLOOKUP(I25, UserCodes!E:F, 2, FALSE) * H25, IF(L25="Level 2", VLOOKUP(I25, UserCodes!E:F, 2, FALSE) * H25 * 0.8, 0))</f>
        <v/>
      </c>
      <c r="K25" t="inlineStr">
        <is>
          <t>Ahmed, Jama</t>
        </is>
      </c>
      <c r="L25">
        <f>VLOOKUP(K25, UserCodes!A:B, 2, FALSE)</f>
        <v/>
      </c>
      <c r="M25" t="inlineStr">
        <is>
          <t>No schedule</t>
        </is>
      </c>
    </row>
    <row r="26">
      <c r="A26" t="inlineStr">
        <is>
          <t>Abdulkadir, Nadra</t>
        </is>
      </c>
      <c r="B26" s="3" t="n">
        <v>46013</v>
      </c>
      <c r="C26" t="inlineStr">
        <is>
          <t>01:00 PM - 03:15 PM</t>
        </is>
      </c>
      <c r="D26" t="inlineStr">
        <is>
          <t>02:15</t>
        </is>
      </c>
      <c r="E26">
        <f>HOUR(D26)+MINUTE(D26)/100</f>
        <v/>
      </c>
      <c r="F26">
        <f>ROUND(INT(E26) + (E26 - INT(E26)) * 100 / 60, 2)</f>
        <v/>
      </c>
      <c r="G26">
        <f>E26*4</f>
        <v/>
      </c>
      <c r="H26">
        <f>LET(total, INT(E26)*60 + (E26-INT(E26))*100, blocks, QUOTIENT(total, 15), extra, MOD(total, 15), units, blocks + IF(extra&gt;=8, 1, 0), units)</f>
        <v/>
      </c>
      <c r="J26">
        <f>IF(L26="Level 1", VLOOKUP(I26, UserCodes!E:F, 2, FALSE) * H26, IF(L26="Level 2", VLOOKUP(I26, UserCodes!E:F, 2, FALSE) * H26 * 0.8, 0))</f>
        <v/>
      </c>
      <c r="K26" t="inlineStr">
        <is>
          <t>Ahmed, Jama</t>
        </is>
      </c>
      <c r="L26">
        <f>VLOOKUP(K26, UserCodes!A:B, 2, FALSE)</f>
        <v/>
      </c>
      <c r="M26" t="inlineStr">
        <is>
          <t>No schedule</t>
        </is>
      </c>
    </row>
    <row r="27">
      <c r="A27" t="inlineStr">
        <is>
          <t>Abdulkadir, Nadra</t>
        </is>
      </c>
      <c r="B27" s="3" t="n">
        <v>46001</v>
      </c>
      <c r="C27" t="inlineStr">
        <is>
          <t>01:30 PM - 03:50 PM</t>
        </is>
      </c>
      <c r="D27" t="inlineStr">
        <is>
          <t>02:20</t>
        </is>
      </c>
      <c r="E27">
        <f>HOUR(D27)+MINUTE(D27)/100</f>
        <v/>
      </c>
      <c r="F27">
        <f>ROUND(INT(E27) + (E27 - INT(E27)) * 100 / 60, 2)</f>
        <v/>
      </c>
      <c r="G27">
        <f>E27*4</f>
        <v/>
      </c>
      <c r="H27">
        <f>LET(total, INT(E27)*60 + (E27-INT(E27))*100, blocks, QUOTIENT(total, 15), extra, MOD(total, 15), units, blocks + IF(extra&gt;=8, 1, 0), units)</f>
        <v/>
      </c>
      <c r="J27">
        <f>IF(L27="Level 1", VLOOKUP(I27, UserCodes!E:F, 2, FALSE) * H27, IF(L27="Level 2", VLOOKUP(I27, UserCodes!E:F, 2, FALSE) * H27 * 0.8, 0))</f>
        <v/>
      </c>
      <c r="K27" t="inlineStr">
        <is>
          <t>Ahmed, Jama</t>
        </is>
      </c>
      <c r="L27">
        <f>VLOOKUP(K27, UserCodes!A:B, 2, FALSE)</f>
        <v/>
      </c>
      <c r="M27" t="inlineStr">
        <is>
          <t>No schedule</t>
        </is>
      </c>
    </row>
    <row r="28">
      <c r="A28" t="inlineStr">
        <is>
          <t>Abdulkadir, Nadra</t>
        </is>
      </c>
      <c r="B28" s="3" t="n">
        <v>46002</v>
      </c>
      <c r="C28" t="inlineStr">
        <is>
          <t>11:30am - 02:30pm</t>
        </is>
      </c>
      <c r="E28">
        <f>HOUR(D28)+MINUTE(D28)/100</f>
        <v/>
      </c>
      <c r="F28">
        <f>ROUND(INT(E28) + (E28 - INT(E28)) * 100 / 60, 2)</f>
        <v/>
      </c>
      <c r="G28">
        <f>E28*4</f>
        <v/>
      </c>
      <c r="H28">
        <f>LET(total, INT(E28)*60 + (E28-INT(E28))*100, blocks, QUOTIENT(total, 15), extra, MOD(total, 15), units, blocks + IF(extra&gt;=8, 1, 0), units)</f>
        <v/>
      </c>
      <c r="I28" t="inlineStr">
        <is>
          <t>O&amp;D 
97155</t>
        </is>
      </c>
      <c r="J28">
        <f>IF(L28="Level 1", VLOOKUP(I28, UserCodes!E:F, 2, FALSE) * H28, IF(L28="Level 2", VLOOKUP(I28, UserCodes!E:F, 2, FALSE) * H28 * 0.8, 0))</f>
        <v/>
      </c>
      <c r="K28" t="inlineStr">
        <is>
          <t>mohamed, Madar</t>
        </is>
      </c>
      <c r="L28">
        <f>VLOOKUP(K28, UserCodes!A:B, 2, FALSE)</f>
        <v/>
      </c>
      <c r="M28" t="inlineStr">
        <is>
          <t>No note</t>
        </is>
      </c>
    </row>
    <row r="29">
      <c r="A29" t="inlineStr">
        <is>
          <t>Abdulkadir, Nadra</t>
        </is>
      </c>
      <c r="B29" s="3" t="n">
        <v>46005</v>
      </c>
      <c r="C29" t="inlineStr">
        <is>
          <t>09:30 AM - 11:45 AM</t>
        </is>
      </c>
      <c r="D29" t="inlineStr">
        <is>
          <t>02:15</t>
        </is>
      </c>
      <c r="E29">
        <f>HOUR(D29)+MINUTE(D29)/100</f>
        <v/>
      </c>
      <c r="F29">
        <f>ROUND(INT(E29) + (E29 - INT(E29)) * 100 / 60, 2)</f>
        <v/>
      </c>
      <c r="G29">
        <f>E29*4</f>
        <v/>
      </c>
      <c r="H29">
        <f>LET(total, INT(E29)*60 + (E29-INT(E29))*100, blocks, QUOTIENT(total, 15), extra, MOD(total, 15), units, blocks + IF(extra&gt;=8, 1, 0), units)</f>
        <v/>
      </c>
      <c r="J29">
        <f>IF(L29="Level 1", VLOOKUP(I29, UserCodes!E:F, 2, FALSE) * H29, IF(L29="Level 2", VLOOKUP(I29, UserCodes!E:F, 2, FALSE) * H29 * 0.8, 0))</f>
        <v/>
      </c>
      <c r="K29" t="inlineStr">
        <is>
          <t>Ahmed, Jama</t>
        </is>
      </c>
      <c r="L29">
        <f>VLOOKUP(K29, UserCodes!A:B, 2, FALSE)</f>
        <v/>
      </c>
      <c r="M29" t="inlineStr">
        <is>
          <t>No schedule</t>
        </is>
      </c>
    </row>
    <row r="30">
      <c r="A30" t="inlineStr">
        <is>
          <t>Abdullahi, Abdirahman</t>
        </is>
      </c>
      <c r="B30" s="3" t="n">
        <v>46005</v>
      </c>
      <c r="C30" t="inlineStr">
        <is>
          <t>12:50 PM - 03:30 PM</t>
        </is>
      </c>
      <c r="D30" t="inlineStr">
        <is>
          <t>02:40</t>
        </is>
      </c>
      <c r="E30">
        <f>HOUR(D30)+MINUTE(D30)/100</f>
        <v/>
      </c>
      <c r="F30">
        <f>ROUND(INT(E30) + (E30 - INT(E30)) * 100 / 60, 2)</f>
        <v/>
      </c>
      <c r="G30">
        <f>E30*4</f>
        <v/>
      </c>
      <c r="H30">
        <f>LET(total, INT(E30)*60 + (E30-INT(E30))*100, blocks, QUOTIENT(total, 15), extra, MOD(total, 15), units, blocks + IF(extra&gt;=8, 1, 0), units)</f>
        <v/>
      </c>
      <c r="J30">
        <f>IF(L30="Level 1", VLOOKUP(I30, UserCodes!E:F, 2, FALSE) * H30, IF(L30="Level 2", VLOOKUP(I30, UserCodes!E:F, 2, FALSE) * H30 * 0.8, 0))</f>
        <v/>
      </c>
      <c r="K30" t="inlineStr">
        <is>
          <t>Ahmed, Jama</t>
        </is>
      </c>
      <c r="L30">
        <f>VLOOKUP(K30, UserCodes!A:B, 2, FALSE)</f>
        <v/>
      </c>
      <c r="M30" t="inlineStr">
        <is>
          <t>No schedule</t>
        </is>
      </c>
    </row>
    <row r="31">
      <c r="A31" t="inlineStr">
        <is>
          <t>Abdullahi, Abdirahman</t>
        </is>
      </c>
      <c r="B31" s="3" t="n">
        <v>46008</v>
      </c>
      <c r="C31" t="inlineStr">
        <is>
          <t>01:00pm - 04:00pm</t>
        </is>
      </c>
      <c r="E31">
        <f>HOUR(D31)+MINUTE(D31)/100</f>
        <v/>
      </c>
      <c r="F31">
        <f>ROUND(INT(E31) + (E31 - INT(E31)) * 100 / 60, 2)</f>
        <v/>
      </c>
      <c r="G31">
        <f>E31*4</f>
        <v/>
      </c>
      <c r="H31">
        <f>LET(total, INT(E31)*60 + (E31-INT(E31))*100, blocks, QUOTIENT(total, 15), extra, MOD(total, 15), units, blocks + IF(extra&gt;=8, 1, 0), units)</f>
        <v/>
      </c>
      <c r="I31" t="inlineStr">
        <is>
          <t>1/1 
97153</t>
        </is>
      </c>
      <c r="J31">
        <f>IF(L31="Level 1", VLOOKUP(I31, UserCodes!E:F, 2, FALSE) * H31, IF(L31="Level 2", VLOOKUP(I31, UserCodes!E:F, 2, FALSE) * H31 * 0.8, 0))</f>
        <v/>
      </c>
      <c r="K31" t="inlineStr">
        <is>
          <t>Ali, Nasteho</t>
        </is>
      </c>
      <c r="L31">
        <f>VLOOKUP(K31, UserCodes!A:B, 2, FALSE)</f>
        <v/>
      </c>
      <c r="M31" t="inlineStr">
        <is>
          <t>No note</t>
        </is>
      </c>
    </row>
    <row r="32">
      <c r="A32" t="inlineStr">
        <is>
          <t>Abdullahi, Abdirahman</t>
        </is>
      </c>
      <c r="B32" s="3" t="n">
        <v>46002</v>
      </c>
      <c r="C32" t="inlineStr">
        <is>
          <t>09:30 AM - 11:45 AM</t>
        </is>
      </c>
      <c r="D32" t="inlineStr">
        <is>
          <t>02:15</t>
        </is>
      </c>
      <c r="E32">
        <f>HOUR(D32)+MINUTE(D32)/100</f>
        <v/>
      </c>
      <c r="F32">
        <f>ROUND(INT(E32) + (E32 - INT(E32)) * 100 / 60, 2)</f>
        <v/>
      </c>
      <c r="G32">
        <f>E32*4</f>
        <v/>
      </c>
      <c r="H32">
        <f>LET(total, INT(E32)*60 + (E32-INT(E32))*100, blocks, QUOTIENT(total, 15), extra, MOD(total, 15), units, blocks + IF(extra&gt;=8, 1, 0), units)</f>
        <v/>
      </c>
      <c r="J32">
        <f>IF(L32="Level 1", VLOOKUP(I32, UserCodes!E:F, 2, FALSE) * H32, IF(L32="Level 2", VLOOKUP(I32, UserCodes!E:F, 2, FALSE) * H32 * 0.8, 0))</f>
        <v/>
      </c>
      <c r="K32" t="inlineStr">
        <is>
          <t>Ahmed, Jama</t>
        </is>
      </c>
      <c r="L32">
        <f>VLOOKUP(K32, UserCodes!A:B, 2, FALSE)</f>
        <v/>
      </c>
      <c r="M32" t="inlineStr">
        <is>
          <t>No schedule</t>
        </is>
      </c>
    </row>
    <row r="33">
      <c r="A33" t="inlineStr">
        <is>
          <t>Abdullahi, Abdirahman</t>
        </is>
      </c>
      <c r="B33" s="3" t="n">
        <v>46008</v>
      </c>
      <c r="C33" t="inlineStr">
        <is>
          <t>12:45 PM - 02:50 PM</t>
        </is>
      </c>
      <c r="D33" t="inlineStr">
        <is>
          <t>02:05</t>
        </is>
      </c>
      <c r="E33">
        <f>HOUR(D33)+MINUTE(D33)/100</f>
        <v/>
      </c>
      <c r="F33">
        <f>ROUND(INT(E33) + (E33 - INT(E33)) * 100 / 60, 2)</f>
        <v/>
      </c>
      <c r="G33">
        <f>E33*4</f>
        <v/>
      </c>
      <c r="H33">
        <f>LET(total, INT(E33)*60 + (E33-INT(E33))*100, blocks, QUOTIENT(total, 15), extra, MOD(total, 15), units, blocks + IF(extra&gt;=8, 1, 0), units)</f>
        <v/>
      </c>
      <c r="J33">
        <f>IF(L33="Level 1", VLOOKUP(I33, UserCodes!E:F, 2, FALSE) * H33, IF(L33="Level 2", VLOOKUP(I33, UserCodes!E:F, 2, FALSE) * H33 * 0.8, 0))</f>
        <v/>
      </c>
      <c r="K33" t="inlineStr">
        <is>
          <t>Ahmed, Jama</t>
        </is>
      </c>
      <c r="L33">
        <f>VLOOKUP(K33, UserCodes!A:B, 2, FALSE)</f>
        <v/>
      </c>
      <c r="M33" t="inlineStr">
        <is>
          <t>No schedule</t>
        </is>
      </c>
    </row>
    <row r="34">
      <c r="A34" t="inlineStr">
        <is>
          <t>Abdullahi, Abdirahman</t>
        </is>
      </c>
      <c r="B34" s="3" t="n">
        <v>46014</v>
      </c>
      <c r="C34" t="inlineStr">
        <is>
          <t>01:30pm - 03:00pm</t>
        </is>
      </c>
      <c r="E34">
        <f>HOUR(D34)+MINUTE(D34)/100</f>
        <v/>
      </c>
      <c r="F34">
        <f>ROUND(INT(E34) + (E34 - INT(E34)) * 100 / 60, 2)</f>
        <v/>
      </c>
      <c r="G34">
        <f>E34*4</f>
        <v/>
      </c>
      <c r="H34">
        <f>LET(total, INT(E34)*60 + (E34-INT(E34))*100, blocks, QUOTIENT(total, 15), extra, MOD(total, 15), units, blocks + IF(extra&gt;=8, 1, 0), units)</f>
        <v/>
      </c>
      <c r="I34" t="inlineStr">
        <is>
          <t>1/1 
97153</t>
        </is>
      </c>
      <c r="J34">
        <f>IF(L34="Level 1", VLOOKUP(I34, UserCodes!E:F, 2, FALSE) * H34, IF(L34="Level 2", VLOOKUP(I34, UserCodes!E:F, 2, FALSE) * H34 * 0.8, 0))</f>
        <v/>
      </c>
      <c r="K34" t="inlineStr">
        <is>
          <t>Ibrahim, Ahmed</t>
        </is>
      </c>
      <c r="L34">
        <f>VLOOKUP(K34, UserCodes!A:B, 2, FALSE)</f>
        <v/>
      </c>
      <c r="M34" t="inlineStr">
        <is>
          <t>No note</t>
        </is>
      </c>
    </row>
    <row r="35">
      <c r="A35" t="inlineStr">
        <is>
          <t>Abdullahi, Abdirahman</t>
        </is>
      </c>
      <c r="B35" s="3" t="n">
        <v>46006</v>
      </c>
      <c r="C35" t="inlineStr">
        <is>
          <t>01:00pm - 04:00pm</t>
        </is>
      </c>
      <c r="E35">
        <f>HOUR(D35)+MINUTE(D35)/100</f>
        <v/>
      </c>
      <c r="F35">
        <f>ROUND(INT(E35) + (E35 - INT(E35)) * 100 / 60, 2)</f>
        <v/>
      </c>
      <c r="G35">
        <f>E35*4</f>
        <v/>
      </c>
      <c r="H35">
        <f>LET(total, INT(E35)*60 + (E35-INT(E35))*100, blocks, QUOTIENT(total, 15), extra, MOD(total, 15), units, blocks + IF(extra&gt;=8, 1, 0), units)</f>
        <v/>
      </c>
      <c r="I35" t="inlineStr">
        <is>
          <t>O&amp;D 
97155</t>
        </is>
      </c>
      <c r="J35">
        <f>IF(L35="Level 1", VLOOKUP(I35, UserCodes!E:F, 2, FALSE) * H35, IF(L35="Level 2", VLOOKUP(I35, UserCodes!E:F, 2, FALSE) * H35 * 0.8, 0))</f>
        <v/>
      </c>
      <c r="K35" t="inlineStr">
        <is>
          <t>Abdulle, Zamzam</t>
        </is>
      </c>
      <c r="L35">
        <f>VLOOKUP(K35, UserCodes!A:B, 2, FALSE)</f>
        <v/>
      </c>
      <c r="M35" t="inlineStr">
        <is>
          <t>No note</t>
        </is>
      </c>
    </row>
    <row r="36">
      <c r="A36" t="inlineStr">
        <is>
          <t>Abdullahi, Abdirahman</t>
        </is>
      </c>
      <c r="B36" s="3" t="n">
        <v>46014</v>
      </c>
      <c r="C36" t="inlineStr">
        <is>
          <t>01:00pm - 01:30pm</t>
        </is>
      </c>
      <c r="E36">
        <f>HOUR(D36)+MINUTE(D36)/100</f>
        <v/>
      </c>
      <c r="F36">
        <f>ROUND(INT(E36) + (E36 - INT(E36)) * 100 / 60, 2)</f>
        <v/>
      </c>
      <c r="G36">
        <f>E36*4</f>
        <v/>
      </c>
      <c r="H36">
        <f>LET(total, INT(E36)*60 + (E36-INT(E36))*100, blocks, QUOTIENT(total, 15), extra, MOD(total, 15), units, blocks + IF(extra&gt;=8, 1, 0), units)</f>
        <v/>
      </c>
      <c r="I36" t="inlineStr">
        <is>
          <t>1/1 
97153</t>
        </is>
      </c>
      <c r="J36">
        <f>IF(L36="Level 1", VLOOKUP(I36, UserCodes!E:F, 2, FALSE) * H36, IF(L36="Level 2", VLOOKUP(I36, UserCodes!E:F, 2, FALSE) * H36 * 0.8, 0))</f>
        <v/>
      </c>
      <c r="K36" t="inlineStr">
        <is>
          <t>Ibrahim, Ahmed</t>
        </is>
      </c>
      <c r="L36">
        <f>VLOOKUP(K36, UserCodes!A:B, 2, FALSE)</f>
        <v/>
      </c>
      <c r="M36" t="inlineStr">
        <is>
          <t>No note</t>
        </is>
      </c>
    </row>
    <row r="37">
      <c r="A37" t="inlineStr">
        <is>
          <t>Ali, Saami</t>
        </is>
      </c>
      <c r="B37" s="3" t="n">
        <v>46011</v>
      </c>
      <c r="C37" t="inlineStr">
        <is>
          <t>04:00pm - 06:00pm</t>
        </is>
      </c>
      <c r="E37">
        <f>HOUR(D37)+MINUTE(D37)/100</f>
        <v/>
      </c>
      <c r="F37">
        <f>ROUND(INT(E37) + (E37 - INT(E37)) * 100 / 60, 2)</f>
        <v/>
      </c>
      <c r="G37">
        <f>E37*4</f>
        <v/>
      </c>
      <c r="H37">
        <f>LET(total, INT(E37)*60 + (E37-INT(E37))*100, blocks, QUOTIENT(total, 15), extra, MOD(total, 15), units, blocks + IF(extra&gt;=8, 1, 0), units)</f>
        <v/>
      </c>
      <c r="I37" t="inlineStr">
        <is>
          <t>O&amp;D 
97155</t>
        </is>
      </c>
      <c r="J37">
        <f>IF(L37="Level 1", VLOOKUP(I37, UserCodes!E:F, 2, FALSE) * H37, IF(L37="Level 2", VLOOKUP(I37, UserCodes!E:F, 2, FALSE) * H37 * 0.8, 0))</f>
        <v/>
      </c>
      <c r="K37" t="inlineStr">
        <is>
          <t>Ibrahim, Ahmed</t>
        </is>
      </c>
      <c r="L37">
        <f>VLOOKUP(K37, UserCodes!A:B, 2, FALSE)</f>
        <v/>
      </c>
      <c r="M37" t="inlineStr">
        <is>
          <t>No note</t>
        </is>
      </c>
    </row>
    <row r="38">
      <c r="A38" t="inlineStr">
        <is>
          <t>Jama, Khadija</t>
        </is>
      </c>
      <c r="B38" s="3" t="n">
        <v>46010</v>
      </c>
      <c r="C38" t="inlineStr">
        <is>
          <t>09:25 AM - 11:40 AM</t>
        </is>
      </c>
      <c r="D38" t="inlineStr">
        <is>
          <t>02:15</t>
        </is>
      </c>
      <c r="E38">
        <f>HOUR(D38)+MINUTE(D38)/100</f>
        <v/>
      </c>
      <c r="F38">
        <f>ROUND(INT(E38) + (E38 - INT(E38)) * 100 / 60, 2)</f>
        <v/>
      </c>
      <c r="G38">
        <f>E38*4</f>
        <v/>
      </c>
      <c r="H38">
        <f>LET(total, INT(E38)*60 + (E38-INT(E38))*100, blocks, QUOTIENT(total, 15), extra, MOD(total, 15), units, blocks + IF(extra&gt;=8, 1, 0), units)</f>
        <v/>
      </c>
      <c r="J38">
        <f>IF(L38="Level 1", VLOOKUP(I38, UserCodes!E:F, 2, FALSE) * H38, IF(L38="Level 2", VLOOKUP(I38, UserCodes!E:F, 2, FALSE) * H38 * 0.8, 0))</f>
        <v/>
      </c>
      <c r="K38" t="inlineStr">
        <is>
          <t>Ahmed, Jama</t>
        </is>
      </c>
      <c r="L38">
        <f>VLOOKUP(K38, UserCodes!A:B, 2, FALSE)</f>
        <v/>
      </c>
      <c r="M38" t="inlineStr">
        <is>
          <t>No schedule</t>
        </is>
      </c>
    </row>
    <row r="39">
      <c r="A39" t="inlineStr">
        <is>
          <t>Jama, Khadija</t>
        </is>
      </c>
      <c r="B39" s="3" t="n">
        <v>46004</v>
      </c>
      <c r="C39" t="inlineStr">
        <is>
          <t>10:00am - 03:00pm</t>
        </is>
      </c>
      <c r="E39">
        <f>HOUR(D39)+MINUTE(D39)/100</f>
        <v/>
      </c>
      <c r="F39">
        <f>ROUND(INT(E39) + (E39 - INT(E39)) * 100 / 60, 2)</f>
        <v/>
      </c>
      <c r="G39">
        <f>E39*4</f>
        <v/>
      </c>
      <c r="H39">
        <f>LET(total, INT(E39)*60 + (E39-INT(E39))*100, blocks, QUOTIENT(total, 15), extra, MOD(total, 15), units, blocks + IF(extra&gt;=8, 1, 0), units)</f>
        <v/>
      </c>
      <c r="I39" t="inlineStr">
        <is>
          <t>1/1 
97153</t>
        </is>
      </c>
      <c r="J39">
        <f>IF(L39="Level 1", VLOOKUP(I39, UserCodes!E:F, 2, FALSE) * H39, IF(L39="Level 2", VLOOKUP(I39, UserCodes!E:F, 2, FALSE) * H39 * 0.8, 0))</f>
        <v/>
      </c>
      <c r="K39" t="inlineStr">
        <is>
          <t>Abdulle, Zamzam</t>
        </is>
      </c>
      <c r="L39">
        <f>VLOOKUP(K39, UserCodes!A:B, 2, FALSE)</f>
        <v/>
      </c>
      <c r="M39" t="inlineStr">
        <is>
          <t>No note</t>
        </is>
      </c>
    </row>
    <row r="40">
      <c r="A40" t="inlineStr">
        <is>
          <t>Kadir, Hamdi</t>
        </is>
      </c>
      <c r="B40" s="3" t="n">
        <v>46003</v>
      </c>
      <c r="C40" t="inlineStr">
        <is>
          <t>12:55 PM - 03:45 PM</t>
        </is>
      </c>
      <c r="D40" t="inlineStr">
        <is>
          <t>02:50</t>
        </is>
      </c>
      <c r="E40">
        <f>HOUR(D40)+MINUTE(D40)/100</f>
        <v/>
      </c>
      <c r="F40">
        <f>ROUND(INT(E40) + (E40 - INT(E40)) * 100 / 60, 2)</f>
        <v/>
      </c>
      <c r="G40">
        <f>E40*4</f>
        <v/>
      </c>
      <c r="H40">
        <f>LET(total, INT(E40)*60 + (E40-INT(E40))*100, blocks, QUOTIENT(total, 15), extra, MOD(total, 15), units, blocks + IF(extra&gt;=8, 1, 0), units)</f>
        <v/>
      </c>
      <c r="J40">
        <f>IF(L40="Level 1", VLOOKUP(I40, UserCodes!E:F, 2, FALSE) * H40, IF(L40="Level 2", VLOOKUP(I40, UserCodes!E:F, 2, FALSE) * H40 * 0.8, 0))</f>
        <v/>
      </c>
      <c r="K40" t="inlineStr">
        <is>
          <t>Ahmed, Jama</t>
        </is>
      </c>
      <c r="L40">
        <f>VLOOKUP(K40, UserCodes!A:B, 2, FALSE)</f>
        <v/>
      </c>
      <c r="M40" t="inlineStr">
        <is>
          <t>No schedule</t>
        </is>
      </c>
    </row>
    <row r="41">
      <c r="A41" t="inlineStr">
        <is>
          <t>Kadir, Hamdi</t>
        </is>
      </c>
      <c r="B41" s="3" t="n">
        <v>46010</v>
      </c>
      <c r="C41" t="inlineStr">
        <is>
          <t>12:59 PM - 03:00 PM</t>
        </is>
      </c>
      <c r="D41" t="inlineStr">
        <is>
          <t>02:01</t>
        </is>
      </c>
      <c r="E41">
        <f>HOUR(D41)+MINUTE(D41)/100</f>
        <v/>
      </c>
      <c r="F41">
        <f>ROUND(INT(E41) + (E41 - INT(E41)) * 100 / 60, 2)</f>
        <v/>
      </c>
      <c r="G41">
        <f>E41*4</f>
        <v/>
      </c>
      <c r="H41">
        <f>LET(total, INT(E41)*60 + (E41-INT(E41))*100, blocks, QUOTIENT(total, 15), extra, MOD(total, 15), units, blocks + IF(extra&gt;=8, 1, 0), units)</f>
        <v/>
      </c>
      <c r="J41">
        <f>IF(L41="Level 1", VLOOKUP(I41, UserCodes!E:F, 2, FALSE) * H41, IF(L41="Level 2", VLOOKUP(I41, UserCodes!E:F, 2, FALSE) * H41 * 0.8, 0))</f>
        <v/>
      </c>
      <c r="K41" t="inlineStr">
        <is>
          <t>Ahmed, Jama</t>
        </is>
      </c>
      <c r="L41">
        <f>VLOOKUP(K41, UserCodes!A:B, 2, FALSE)</f>
        <v/>
      </c>
      <c r="M41" t="inlineStr">
        <is>
          <t>No schedule</t>
        </is>
      </c>
    </row>
    <row r="42">
      <c r="A42" t="inlineStr">
        <is>
          <t>Kadir, Hamdi</t>
        </is>
      </c>
      <c r="B42" s="3" t="n">
        <v>46014</v>
      </c>
      <c r="C42" t="inlineStr">
        <is>
          <t>12:30pm - 05:00pm</t>
        </is>
      </c>
      <c r="E42">
        <f>HOUR(D42)+MINUTE(D42)/100</f>
        <v/>
      </c>
      <c r="F42">
        <f>ROUND(INT(E42) + (E42 - INT(E42)) * 100 / 60, 2)</f>
        <v/>
      </c>
      <c r="G42">
        <f>E42*4</f>
        <v/>
      </c>
      <c r="H42">
        <f>LET(total, INT(E42)*60 + (E42-INT(E42))*100, blocks, QUOTIENT(total, 15), extra, MOD(total, 15), units, blocks + IF(extra&gt;=8, 1, 0), units)</f>
        <v/>
      </c>
      <c r="I42" t="inlineStr">
        <is>
          <t>1/1 
97153</t>
        </is>
      </c>
      <c r="J42">
        <f>IF(L42="Level 1", VLOOKUP(I42, UserCodes!E:F, 2, FALSE) * H42, IF(L42="Level 2", VLOOKUP(I42, UserCodes!E:F, 2, FALSE) * H42 * 0.8, 0))</f>
        <v/>
      </c>
      <c r="K42" t="inlineStr">
        <is>
          <t>Muse, Nawaal</t>
        </is>
      </c>
      <c r="L42">
        <f>VLOOKUP(K42, UserCodes!A:B, 2, FALSE)</f>
        <v/>
      </c>
      <c r="M42" t="inlineStr">
        <is>
          <t>No note</t>
        </is>
      </c>
    </row>
    <row r="43">
      <c r="A43" t="inlineStr">
        <is>
          <t>Kadir, Hamdi</t>
        </is>
      </c>
      <c r="B43" s="3" t="n">
        <v>46013</v>
      </c>
      <c r="C43" t="inlineStr">
        <is>
          <t>12:00 PM - 03:00 PM</t>
        </is>
      </c>
      <c r="D43" t="inlineStr">
        <is>
          <t>03:00</t>
        </is>
      </c>
      <c r="E43">
        <f>HOUR(D43)+MINUTE(D43)/100</f>
        <v/>
      </c>
      <c r="F43">
        <f>ROUND(INT(E43) + (E43 - INT(E43)) * 100 / 60, 2)</f>
        <v/>
      </c>
      <c r="G43">
        <f>E43*4</f>
        <v/>
      </c>
      <c r="H43">
        <f>LET(total, INT(E43)*60 + (E43-INT(E43))*100, blocks, QUOTIENT(total, 15), extra, MOD(total, 15), units, blocks + IF(extra&gt;=8, 1, 0), units)</f>
        <v/>
      </c>
      <c r="J43">
        <f>IF(L43="Level 1", VLOOKUP(I43, UserCodes!E:F, 2, FALSE) * H43, IF(L43="Level 2", VLOOKUP(I43, UserCodes!E:F, 2, FALSE) * H43 * 0.8, 0))</f>
        <v/>
      </c>
      <c r="K43" t="inlineStr">
        <is>
          <t>Muse, Aaliya</t>
        </is>
      </c>
      <c r="L43">
        <f>VLOOKUP(K43, UserCodes!A:B, 2, FALSE)</f>
        <v/>
      </c>
      <c r="M43" t="inlineStr">
        <is>
          <t>No schedule</t>
        </is>
      </c>
    </row>
    <row r="44">
      <c r="A44" t="inlineStr">
        <is>
          <t>Kadir, Hamdi</t>
        </is>
      </c>
      <c r="B44" s="3" t="n">
        <v>46014</v>
      </c>
      <c r="C44" t="inlineStr">
        <is>
          <t>09:00am - 12:00pm</t>
        </is>
      </c>
      <c r="E44">
        <f>HOUR(D44)+MINUTE(D44)/100</f>
        <v/>
      </c>
      <c r="F44">
        <f>ROUND(INT(E44) + (E44 - INT(E44)) * 100 / 60, 2)</f>
        <v/>
      </c>
      <c r="G44">
        <f>E44*4</f>
        <v/>
      </c>
      <c r="H44">
        <f>LET(total, INT(E44)*60 + (E44-INT(E44))*100, blocks, QUOTIENT(total, 15), extra, MOD(total, 15), units, blocks + IF(extra&gt;=8, 1, 0), units)</f>
        <v/>
      </c>
      <c r="I44" t="inlineStr">
        <is>
          <t>1/1 
97153</t>
        </is>
      </c>
      <c r="J44">
        <f>IF(L44="Level 1", VLOOKUP(I44, UserCodes!E:F, 2, FALSE) * H44, IF(L44="Level 2", VLOOKUP(I44, UserCodes!E:F, 2, FALSE) * H44 * 0.8, 0))</f>
        <v/>
      </c>
      <c r="K44" t="inlineStr">
        <is>
          <t>Muse, Nawaal</t>
        </is>
      </c>
      <c r="L44">
        <f>VLOOKUP(K44, UserCodes!A:B, 2, FALSE)</f>
        <v/>
      </c>
      <c r="M44" t="inlineStr">
        <is>
          <t>No note</t>
        </is>
      </c>
    </row>
    <row r="45">
      <c r="A45" t="inlineStr">
        <is>
          <t>Omar, Abdiweli</t>
        </is>
      </c>
      <c r="B45" s="3" t="n">
        <v>46005</v>
      </c>
      <c r="C45" t="inlineStr">
        <is>
          <t>01:00 PM - 05:00 PM</t>
        </is>
      </c>
      <c r="D45" t="inlineStr">
        <is>
          <t>04:00</t>
        </is>
      </c>
      <c r="E45">
        <f>HOUR(D45)+MINUTE(D45)/100</f>
        <v/>
      </c>
      <c r="F45">
        <f>ROUND(INT(E45) + (E45 - INT(E45)) * 100 / 60, 2)</f>
        <v/>
      </c>
      <c r="G45">
        <f>E45*4</f>
        <v/>
      </c>
      <c r="H45">
        <f>LET(total, INT(E45)*60 + (E45-INT(E45))*100, blocks, QUOTIENT(total, 15), extra, MOD(total, 15), units, blocks + IF(extra&gt;=8, 1, 0), units)</f>
        <v/>
      </c>
      <c r="J45">
        <f>IF(L45="Level 1", VLOOKUP(I45, UserCodes!E:F, 2, FALSE) * H45, IF(L45="Level 2", VLOOKUP(I45, UserCodes!E:F, 2, FALSE) * H45 * 0.8, 0))</f>
        <v/>
      </c>
      <c r="K45" t="inlineStr">
        <is>
          <t>Webi3, Amina</t>
        </is>
      </c>
      <c r="L45">
        <f>VLOOKUP(K45, UserCodes!A:B, 2, FALSE)</f>
        <v/>
      </c>
      <c r="M45" t="inlineStr">
        <is>
          <t>No schedule</t>
        </is>
      </c>
    </row>
    <row r="46">
      <c r="A46" t="inlineStr">
        <is>
          <t>Omar, Abdiweli</t>
        </is>
      </c>
      <c r="B46" s="3" t="n">
        <v>46012</v>
      </c>
      <c r="C46" t="inlineStr">
        <is>
          <t>01:00 PM - 06:00 PM</t>
        </is>
      </c>
      <c r="D46" t="inlineStr">
        <is>
          <t>05:00</t>
        </is>
      </c>
      <c r="E46">
        <f>HOUR(D46)+MINUTE(D46)/100</f>
        <v/>
      </c>
      <c r="F46">
        <f>ROUND(INT(E46) + (E46 - INT(E46)) * 100 / 60, 2)</f>
        <v/>
      </c>
      <c r="G46">
        <f>E46*4</f>
        <v/>
      </c>
      <c r="H46">
        <f>LET(total, INT(E46)*60 + (E46-INT(E46))*100, blocks, QUOTIENT(total, 15), extra, MOD(total, 15), units, blocks + IF(extra&gt;=8, 1, 0), units)</f>
        <v/>
      </c>
      <c r="J46">
        <f>IF(L46="Level 1", VLOOKUP(I46, UserCodes!E:F, 2, FALSE) * H46, IF(L46="Level 2", VLOOKUP(I46, UserCodes!E:F, 2, FALSE) * H46 * 0.8, 0))</f>
        <v/>
      </c>
      <c r="K46" t="inlineStr">
        <is>
          <t>Webi3, Amina</t>
        </is>
      </c>
      <c r="L46">
        <f>VLOOKUP(K46, UserCodes!A:B, 2, FALSE)</f>
        <v/>
      </c>
      <c r="M46" t="inlineStr">
        <is>
          <t>No schedule</t>
        </is>
      </c>
    </row>
    <row r="47">
      <c r="A47" t="inlineStr">
        <is>
          <t>Omar, Abdiweli</t>
        </is>
      </c>
      <c r="B47" s="3" t="n">
        <v>46006</v>
      </c>
      <c r="C47" t="inlineStr">
        <is>
          <t>06:00 PM - 10:00 PM</t>
        </is>
      </c>
      <c r="D47" t="inlineStr">
        <is>
          <t>04:00</t>
        </is>
      </c>
      <c r="E47">
        <f>HOUR(D47)+MINUTE(D47)/100</f>
        <v/>
      </c>
      <c r="F47">
        <f>ROUND(INT(E47) + (E47 - INT(E47)) * 100 / 60, 2)</f>
        <v/>
      </c>
      <c r="G47">
        <f>E47*4</f>
        <v/>
      </c>
      <c r="H47">
        <f>LET(total, INT(E47)*60 + (E47-INT(E47))*100, blocks, QUOTIENT(total, 15), extra, MOD(total, 15), units, blocks + IF(extra&gt;=8, 1, 0), units)</f>
        <v/>
      </c>
      <c r="J47">
        <f>IF(L47="Level 1", VLOOKUP(I47, UserCodes!E:F, 2, FALSE) * H47, IF(L47="Level 2", VLOOKUP(I47, UserCodes!E:F, 2, FALSE) * H47 * 0.8, 0))</f>
        <v/>
      </c>
      <c r="K47" t="inlineStr">
        <is>
          <t>Webi3, Amina</t>
        </is>
      </c>
      <c r="L47">
        <f>VLOOKUP(K47, UserCodes!A:B, 2, FALSE)</f>
        <v/>
      </c>
      <c r="M47" t="inlineStr">
        <is>
          <t>No schedule</t>
        </is>
      </c>
    </row>
    <row r="48">
      <c r="A48" t="inlineStr">
        <is>
          <t>Sulub, Sharmake</t>
        </is>
      </c>
      <c r="B48" s="3" t="n">
        <v>46004</v>
      </c>
      <c r="C48" t="inlineStr">
        <is>
          <t>12:30 PM - 02:50 PM</t>
        </is>
      </c>
      <c r="D48" t="inlineStr">
        <is>
          <t>02:20</t>
        </is>
      </c>
      <c r="E48">
        <f>HOUR(D48)+MINUTE(D48)/100</f>
        <v/>
      </c>
      <c r="F48">
        <f>ROUND(INT(E48) + (E48 - INT(E48)) * 100 / 60, 2)</f>
        <v/>
      </c>
      <c r="G48">
        <f>E48*4</f>
        <v/>
      </c>
      <c r="H48">
        <f>LET(total, INT(E48)*60 + (E48-INT(E48))*100, blocks, QUOTIENT(total, 15), extra, MOD(total, 15), units, blocks + IF(extra&gt;=8, 1, 0), units)</f>
        <v/>
      </c>
      <c r="J48">
        <f>IF(L48="Level 1", VLOOKUP(I48, UserCodes!E:F, 2, FALSE) * H48, IF(L48="Level 2", VLOOKUP(I48, UserCodes!E:F, 2, FALSE) * H48 * 0.8, 0))</f>
        <v/>
      </c>
      <c r="K48" t="inlineStr">
        <is>
          <t>Ahmed, Jama</t>
        </is>
      </c>
      <c r="L48">
        <f>VLOOKUP(K48, UserCodes!A:B, 2, FALSE)</f>
        <v/>
      </c>
      <c r="M48" t="inlineStr">
        <is>
          <t>No schedule</t>
        </is>
      </c>
    </row>
    <row r="49">
      <c r="A49" t="inlineStr">
        <is>
          <t>Sulub, Sharmake</t>
        </is>
      </c>
      <c r="B49" s="3" t="n">
        <v>46013</v>
      </c>
      <c r="C49" t="inlineStr">
        <is>
          <t>09:00am - 12:00pm</t>
        </is>
      </c>
      <c r="E49">
        <f>HOUR(D49)+MINUTE(D49)/100</f>
        <v/>
      </c>
      <c r="F49">
        <f>ROUND(INT(E49) + (E49 - INT(E49)) * 100 / 60, 2)</f>
        <v/>
      </c>
      <c r="G49">
        <f>E49*4</f>
        <v/>
      </c>
      <c r="H49">
        <f>LET(total, INT(E49)*60 + (E49-INT(E49))*100, blocks, QUOTIENT(total, 15), extra, MOD(total, 15), units, blocks + IF(extra&gt;=8, 1, 0), units)</f>
        <v/>
      </c>
      <c r="I49" t="inlineStr">
        <is>
          <t>O&amp;D 
97155</t>
        </is>
      </c>
      <c r="J49">
        <f>IF(L49="Level 1", VLOOKUP(I49, UserCodes!E:F, 2, FALSE) * H49, IF(L49="Level 2", VLOOKUP(I49, UserCodes!E:F, 2, FALSE) * H49 * 0.8, 0))</f>
        <v/>
      </c>
      <c r="K49" t="inlineStr">
        <is>
          <t>Abdulle, Zamzam</t>
        </is>
      </c>
      <c r="L49">
        <f>VLOOKUP(K49, UserCodes!A:B, 2, FALSE)</f>
        <v/>
      </c>
      <c r="M49" t="inlineStr">
        <is>
          <t>No note</t>
        </is>
      </c>
    </row>
    <row r="50">
      <c r="A50" t="inlineStr">
        <is>
          <t>Sulub, Sharmake</t>
        </is>
      </c>
      <c r="B50" s="3" t="n">
        <v>46008</v>
      </c>
      <c r="C50" t="inlineStr">
        <is>
          <t>04:00pm - 07:00pm</t>
        </is>
      </c>
      <c r="E50">
        <f>HOUR(D50)+MINUTE(D50)/100</f>
        <v/>
      </c>
      <c r="F50">
        <f>ROUND(INT(E50) + (E50 - INT(E50)) * 100 / 60, 2)</f>
        <v/>
      </c>
      <c r="G50">
        <f>E50*4</f>
        <v/>
      </c>
      <c r="H50">
        <f>LET(total, INT(E50)*60 + (E50-INT(E50))*100, blocks, QUOTIENT(total, 15), extra, MOD(total, 15), units, blocks + IF(extra&gt;=8, 1, 0), units)</f>
        <v/>
      </c>
      <c r="I50" t="inlineStr">
        <is>
          <t>O&amp;D 
97155</t>
        </is>
      </c>
      <c r="J50">
        <f>IF(L50="Level 1", VLOOKUP(I50, UserCodes!E:F, 2, FALSE) * H50, IF(L50="Level 2", VLOOKUP(I50, UserCodes!E:F, 2, FALSE) * H50 * 0.8, 0))</f>
        <v/>
      </c>
      <c r="K50" t="inlineStr">
        <is>
          <t>Abdulle, Zamzam</t>
        </is>
      </c>
      <c r="L50">
        <f>VLOOKUP(K50, UserCodes!A:B, 2, FALSE)</f>
        <v/>
      </c>
      <c r="M50" t="inlineStr">
        <is>
          <t>No note</t>
        </is>
      </c>
    </row>
    <row r="51">
      <c r="A51" t="inlineStr">
        <is>
          <t>Sulub, Sharmake</t>
        </is>
      </c>
      <c r="B51" s="3" t="n">
        <v>46011</v>
      </c>
      <c r="C51" t="inlineStr">
        <is>
          <t>10:00am - 01:00pm</t>
        </is>
      </c>
      <c r="E51">
        <f>HOUR(D51)+MINUTE(D51)/100</f>
        <v/>
      </c>
      <c r="F51">
        <f>ROUND(INT(E51) + (E51 - INT(E51)) * 100 / 60, 2)</f>
        <v/>
      </c>
      <c r="G51">
        <f>E51*4</f>
        <v/>
      </c>
      <c r="H51">
        <f>LET(total, INT(E51)*60 + (E51-INT(E51))*100, blocks, QUOTIENT(total, 15), extra, MOD(total, 15), units, blocks + IF(extra&gt;=8, 1, 0), units)</f>
        <v/>
      </c>
      <c r="I51" t="inlineStr">
        <is>
          <t>O&amp;D 
97155</t>
        </is>
      </c>
      <c r="J51">
        <f>IF(L51="Level 1", VLOOKUP(I51, UserCodes!E:F, 2, FALSE) * H51, IF(L51="Level 2", VLOOKUP(I51, UserCodes!E:F, 2, FALSE) * H51 * 0.8, 0))</f>
        <v/>
      </c>
      <c r="K51" t="inlineStr">
        <is>
          <t>Abdulle, Zamzam</t>
        </is>
      </c>
      <c r="L51">
        <f>VLOOKUP(K51, UserCodes!A:B, 2, FALSE)</f>
        <v/>
      </c>
      <c r="M51" t="inlineStr">
        <is>
          <t>No note</t>
        </is>
      </c>
    </row>
    <row r="52">
      <c r="A52" t="inlineStr">
        <is>
          <t>Sulub, Sharmake</t>
        </is>
      </c>
      <c r="B52" s="3" t="n">
        <v>46010</v>
      </c>
      <c r="C52" t="inlineStr">
        <is>
          <t>04:00pm - 07:00pm</t>
        </is>
      </c>
      <c r="E52">
        <f>HOUR(D52)+MINUTE(D52)/100</f>
        <v/>
      </c>
      <c r="F52">
        <f>ROUND(INT(E52) + (E52 - INT(E52)) * 100 / 60, 2)</f>
        <v/>
      </c>
      <c r="G52">
        <f>E52*4</f>
        <v/>
      </c>
      <c r="H52">
        <f>LET(total, INT(E52)*60 + (E52-INT(E52))*100, blocks, QUOTIENT(total, 15), extra, MOD(total, 15), units, blocks + IF(extra&gt;=8, 1, 0), units)</f>
        <v/>
      </c>
      <c r="I52" t="inlineStr">
        <is>
          <t>O&amp;D 
97155</t>
        </is>
      </c>
      <c r="J52">
        <f>IF(L52="Level 1", VLOOKUP(I52, UserCodes!E:F, 2, FALSE) * H52, IF(L52="Level 2", VLOOKUP(I52, UserCodes!E:F, 2, FALSE) * H52 * 0.8, 0))</f>
        <v/>
      </c>
      <c r="K52" t="inlineStr">
        <is>
          <t>Abdulle, Zamzam</t>
        </is>
      </c>
      <c r="L52">
        <f>VLOOKUP(K52, UserCodes!A:B, 2, FALSE)</f>
        <v/>
      </c>
      <c r="M52" t="inlineStr">
        <is>
          <t>No note</t>
        </is>
      </c>
    </row>
    <row r="53">
      <c r="A53" t="inlineStr">
        <is>
          <t>Sulub, Sharmake</t>
        </is>
      </c>
      <c r="B53" s="3" t="n">
        <v>46003</v>
      </c>
      <c r="C53" t="inlineStr">
        <is>
          <t>06:30pm - 08:00pm</t>
        </is>
      </c>
      <c r="E53">
        <f>HOUR(D53)+MINUTE(D53)/100</f>
        <v/>
      </c>
      <c r="F53">
        <f>ROUND(INT(E53) + (E53 - INT(E53)) * 100 / 60, 2)</f>
        <v/>
      </c>
      <c r="G53">
        <f>E53*4</f>
        <v/>
      </c>
      <c r="H53">
        <f>LET(total, INT(E53)*60 + (E53-INT(E53))*100, blocks, QUOTIENT(total, 15), extra, MOD(total, 15), units, blocks + IF(extra&gt;=8, 1, 0), units)</f>
        <v/>
      </c>
      <c r="I53" t="inlineStr">
        <is>
          <t>1/1 
97153</t>
        </is>
      </c>
      <c r="J53">
        <f>IF(L53="Level 1", VLOOKUP(I53, UserCodes!E:F, 2, FALSE) * H53, IF(L53="Level 2", VLOOKUP(I53, UserCodes!E:F, 2, FALSE) * H53 * 0.8, 0))</f>
        <v/>
      </c>
      <c r="K53" t="inlineStr">
        <is>
          <t>Abdulle, Zamzam</t>
        </is>
      </c>
      <c r="L53">
        <f>VLOOKUP(K53, UserCodes!A:B, 2, FALSE)</f>
        <v/>
      </c>
      <c r="M53" t="inlineStr">
        <is>
          <t>No note</t>
        </is>
      </c>
    </row>
    <row r="54">
      <c r="A54" t="inlineStr">
        <is>
          <t>Sulub, Sharmake</t>
        </is>
      </c>
      <c r="B54" s="3" t="n">
        <v>46006</v>
      </c>
      <c r="C54" t="inlineStr">
        <is>
          <t>04:00pm - 07:00pm</t>
        </is>
      </c>
      <c r="E54">
        <f>HOUR(D54)+MINUTE(D54)/100</f>
        <v/>
      </c>
      <c r="F54">
        <f>ROUND(INT(E54) + (E54 - INT(E54)) * 100 / 60, 2)</f>
        <v/>
      </c>
      <c r="G54">
        <f>E54*4</f>
        <v/>
      </c>
      <c r="H54">
        <f>LET(total, INT(E54)*60 + (E54-INT(E54))*100, blocks, QUOTIENT(total, 15), extra, MOD(total, 15), units, blocks + IF(extra&gt;=8, 1, 0), units)</f>
        <v/>
      </c>
      <c r="I54" t="inlineStr">
        <is>
          <t>O&amp;D 
97155</t>
        </is>
      </c>
      <c r="J54">
        <f>IF(L54="Level 1", VLOOKUP(I54, UserCodes!E:F, 2, FALSE) * H54, IF(L54="Level 2", VLOOKUP(I54, UserCodes!E:F, 2, FALSE) * H54 * 0.8, 0))</f>
        <v/>
      </c>
      <c r="K54" t="inlineStr">
        <is>
          <t>Abdulle, Zamzam</t>
        </is>
      </c>
      <c r="L54">
        <f>VLOOKUP(K54, UserCodes!A:B, 2, FALSE)</f>
        <v/>
      </c>
      <c r="M54" t="inlineStr">
        <is>
          <t>No note</t>
        </is>
      </c>
    </row>
    <row r="55">
      <c r="A55" t="inlineStr">
        <is>
          <t>Sulub, Sharmake</t>
        </is>
      </c>
      <c r="B55" s="3" t="n">
        <v>46007</v>
      </c>
      <c r="C55" t="inlineStr">
        <is>
          <t>04:00pm - 07:00pm</t>
        </is>
      </c>
      <c r="E55">
        <f>HOUR(D55)+MINUTE(D55)/100</f>
        <v/>
      </c>
      <c r="F55">
        <f>ROUND(INT(E55) + (E55 - INT(E55)) * 100 / 60, 2)</f>
        <v/>
      </c>
      <c r="G55">
        <f>E55*4</f>
        <v/>
      </c>
      <c r="H55">
        <f>LET(total, INT(E55)*60 + (E55-INT(E55))*100, blocks, QUOTIENT(total, 15), extra, MOD(total, 15), units, blocks + IF(extra&gt;=8, 1, 0), units)</f>
        <v/>
      </c>
      <c r="I55" t="inlineStr">
        <is>
          <t>O&amp;D 
97155</t>
        </is>
      </c>
      <c r="J55">
        <f>IF(L55="Level 1", VLOOKUP(I55, UserCodes!E:F, 2, FALSE) * H55, IF(L55="Level 2", VLOOKUP(I55, UserCodes!E:F, 2, FALSE) * H55 * 0.8, 0))</f>
        <v/>
      </c>
      <c r="K55" t="inlineStr">
        <is>
          <t>Abdulle, Zamzam</t>
        </is>
      </c>
      <c r="L55">
        <f>VLOOKUP(K55, UserCodes!A:B, 2, FALSE)</f>
        <v/>
      </c>
      <c r="M55" t="inlineStr">
        <is>
          <t>No note</t>
        </is>
      </c>
    </row>
    <row r="56">
      <c r="A56" t="inlineStr">
        <is>
          <t>Sulub, Sharmake</t>
        </is>
      </c>
      <c r="B56" s="3" t="n">
        <v>46014</v>
      </c>
      <c r="C56" t="inlineStr">
        <is>
          <t>09:00am - 05:00pm</t>
        </is>
      </c>
      <c r="E56">
        <f>HOUR(D56)+MINUTE(D56)/100</f>
        <v/>
      </c>
      <c r="F56">
        <f>ROUND(INT(E56) + (E56 - INT(E56)) * 100 / 60, 2)</f>
        <v/>
      </c>
      <c r="G56">
        <f>E56*4</f>
        <v/>
      </c>
      <c r="H56">
        <f>LET(total, INT(E56)*60 + (E56-INT(E56))*100, blocks, QUOTIENT(total, 15), extra, MOD(total, 15), units, blocks + IF(extra&gt;=8, 1, 0), units)</f>
        <v/>
      </c>
      <c r="I56" t="inlineStr">
        <is>
          <t>1/1 
97153</t>
        </is>
      </c>
      <c r="J56">
        <f>IF(L56="Level 1", VLOOKUP(I56, UserCodes!E:F, 2, FALSE) * H56, IF(L56="Level 2", VLOOKUP(I56, UserCodes!E:F, 2, FALSE) * H56 * 0.8, 0))</f>
        <v/>
      </c>
      <c r="K56" t="inlineStr">
        <is>
          <t>Mohamed, Mohamed</t>
        </is>
      </c>
      <c r="L56">
        <f>VLOOKUP(K56, UserCodes!A:B, 2, FALSE)</f>
        <v/>
      </c>
      <c r="M56" t="inlineStr">
        <is>
          <t>No note</t>
        </is>
      </c>
    </row>
    <row r="57">
      <c r="A57" t="inlineStr">
        <is>
          <t>Yusuf 2, Khadra</t>
        </is>
      </c>
      <c r="B57" s="3" t="n">
        <v>46014</v>
      </c>
      <c r="C57" t="inlineStr">
        <is>
          <t>12:00pm - 12:30pm</t>
        </is>
      </c>
      <c r="E57">
        <f>HOUR(D57)+MINUTE(D57)/100</f>
        <v/>
      </c>
      <c r="F57">
        <f>ROUND(INT(E57) + (E57 - INT(E57)) * 100 / 60, 2)</f>
        <v/>
      </c>
      <c r="G57">
        <f>E57*4</f>
        <v/>
      </c>
      <c r="H57">
        <f>LET(total, INT(E57)*60 + (E57-INT(E57))*100, blocks, QUOTIENT(total, 15), extra, MOD(total, 15), units, blocks + IF(extra&gt;=8, 1, 0), units)</f>
        <v/>
      </c>
      <c r="I57" t="inlineStr">
        <is>
          <t>1/1 
97153</t>
        </is>
      </c>
      <c r="J57">
        <f>IF(L57="Level 1", VLOOKUP(I57, UserCodes!E:F, 2, FALSE) * H57, IF(L57="Level 2", VLOOKUP(I57, UserCodes!E:F, 2, FALSE) * H57 * 0.8, 0))</f>
        <v/>
      </c>
      <c r="K57" t="inlineStr">
        <is>
          <t>Ibrahim, Ahmed</t>
        </is>
      </c>
      <c r="L57">
        <f>VLOOKUP(K57, UserCodes!A:B, 2, FALSE)</f>
        <v/>
      </c>
      <c r="M57" t="inlineStr">
        <is>
          <t>No note</t>
        </is>
      </c>
    </row>
    <row r="58">
      <c r="A58" t="inlineStr">
        <is>
          <t>Yusuf 2, Khadra</t>
        </is>
      </c>
      <c r="B58" s="3" t="n">
        <v>46009</v>
      </c>
      <c r="C58" t="inlineStr">
        <is>
          <t>09:35 AM - 11:40 AM</t>
        </is>
      </c>
      <c r="D58" t="inlineStr">
        <is>
          <t>02:05</t>
        </is>
      </c>
      <c r="E58">
        <f>HOUR(D58)+MINUTE(D58)/100</f>
        <v/>
      </c>
      <c r="F58">
        <f>ROUND(INT(E58) + (E58 - INT(E58)) * 100 / 60, 2)</f>
        <v/>
      </c>
      <c r="G58">
        <f>E58*4</f>
        <v/>
      </c>
      <c r="H58">
        <f>LET(total, INT(E58)*60 + (E58-INT(E58))*100, blocks, QUOTIENT(total, 15), extra, MOD(total, 15), units, blocks + IF(extra&gt;=8, 1, 0), units)</f>
        <v/>
      </c>
      <c r="J58">
        <f>IF(L58="Level 1", VLOOKUP(I58, UserCodes!E:F, 2, FALSE) * H58, IF(L58="Level 2", VLOOKUP(I58, UserCodes!E:F, 2, FALSE) * H58 * 0.8, 0))</f>
        <v/>
      </c>
      <c r="K58" t="inlineStr">
        <is>
          <t>Ahmed, Jama</t>
        </is>
      </c>
      <c r="L58">
        <f>VLOOKUP(K58, UserCodes!A:B, 2, FALSE)</f>
        <v/>
      </c>
      <c r="M58" t="inlineStr">
        <is>
          <t>No schedule</t>
        </is>
      </c>
    </row>
    <row r="59">
      <c r="A59" t="inlineStr">
        <is>
          <t>Yusuf 2, Khadra</t>
        </is>
      </c>
      <c r="B59" s="3" t="n">
        <v>46014</v>
      </c>
      <c r="C59" t="inlineStr">
        <is>
          <t>01:15 PM - 03:40 PM</t>
        </is>
      </c>
      <c r="D59" t="inlineStr">
        <is>
          <t>02:25</t>
        </is>
      </c>
      <c r="E59">
        <f>HOUR(D59)+MINUTE(D59)/100</f>
        <v/>
      </c>
      <c r="F59">
        <f>ROUND(INT(E59) + (E59 - INT(E59)) * 100 / 60, 2)</f>
        <v/>
      </c>
      <c r="G59">
        <f>E59*4</f>
        <v/>
      </c>
      <c r="H59">
        <f>LET(total, INT(E59)*60 + (E59-INT(E59))*100, blocks, QUOTIENT(total, 15), extra, MOD(total, 15), units, blocks + IF(extra&gt;=8, 1, 0), units)</f>
        <v/>
      </c>
      <c r="J59">
        <f>IF(L59="Level 1", VLOOKUP(I59, UserCodes!E:F, 2, FALSE) * H59, IF(L59="Level 2", VLOOKUP(I59, UserCodes!E:F, 2, FALSE) * H59 * 0.8, 0))</f>
        <v/>
      </c>
      <c r="K59" t="inlineStr">
        <is>
          <t>Ahmed, Jama</t>
        </is>
      </c>
      <c r="L59">
        <f>VLOOKUP(K59, UserCodes!A:B, 2, FALSE)</f>
        <v/>
      </c>
      <c r="M59" t="inlineStr">
        <is>
          <t>No schedule</t>
        </is>
      </c>
    </row>
    <row r="60">
      <c r="A60" t="inlineStr">
        <is>
          <t>Yusuf 2, Khadra</t>
        </is>
      </c>
      <c r="B60" s="3" t="n">
        <v>46006</v>
      </c>
      <c r="C60" t="inlineStr">
        <is>
          <t>12:55 PM - 03:30 PM</t>
        </is>
      </c>
      <c r="D60" t="inlineStr">
        <is>
          <t>02:35</t>
        </is>
      </c>
      <c r="E60">
        <f>HOUR(D60)+MINUTE(D60)/100</f>
        <v/>
      </c>
      <c r="F60">
        <f>ROUND(INT(E60) + (E60 - INT(E60)) * 100 / 60, 2)</f>
        <v/>
      </c>
      <c r="G60">
        <f>E60*4</f>
        <v/>
      </c>
      <c r="H60">
        <f>LET(total, INT(E60)*60 + (E60-INT(E60))*100, blocks, QUOTIENT(total, 15), extra, MOD(total, 15), units, blocks + IF(extra&gt;=8, 1, 0), units)</f>
        <v/>
      </c>
      <c r="J60">
        <f>IF(L60="Level 1", VLOOKUP(I60, UserCodes!E:F, 2, FALSE) * H60, IF(L60="Level 2", VLOOKUP(I60, UserCodes!E:F, 2, FALSE) * H60 * 0.8, 0))</f>
        <v/>
      </c>
      <c r="K60" t="inlineStr">
        <is>
          <t>Ahmed, Jama</t>
        </is>
      </c>
      <c r="L60">
        <f>VLOOKUP(K60, UserCodes!A:B, 2, FALSE)</f>
        <v/>
      </c>
      <c r="M60" t="inlineStr">
        <is>
          <t>No schedule</t>
        </is>
      </c>
    </row>
    <row r="61">
      <c r="A61" t="inlineStr">
        <is>
          <t>Yusuf 2, Khadra</t>
        </is>
      </c>
      <c r="B61" s="3" t="n">
        <v>46007</v>
      </c>
      <c r="C61" t="inlineStr">
        <is>
          <t>10:00 AM - 12:30 PM</t>
        </is>
      </c>
      <c r="D61" t="inlineStr">
        <is>
          <t>02:30</t>
        </is>
      </c>
      <c r="E61">
        <f>HOUR(D61)+MINUTE(D61)/100</f>
        <v/>
      </c>
      <c r="F61">
        <f>ROUND(INT(E61) + (E61 - INT(E61)) * 100 / 60, 2)</f>
        <v/>
      </c>
      <c r="G61">
        <f>E61*4</f>
        <v/>
      </c>
      <c r="H61">
        <f>LET(total, INT(E61)*60 + (E61-INT(E61))*100, blocks, QUOTIENT(total, 15), extra, MOD(total, 15), units, blocks + IF(extra&gt;=8, 1, 0), units)</f>
        <v/>
      </c>
      <c r="J61">
        <f>IF(L61="Level 1", VLOOKUP(I61, UserCodes!E:F, 2, FALSE) * H61, IF(L61="Level 2", VLOOKUP(I61, UserCodes!E:F, 2, FALSE) * H61 * 0.8, 0))</f>
        <v/>
      </c>
      <c r="K61" t="inlineStr">
        <is>
          <t>Ahmed, Jama</t>
        </is>
      </c>
      <c r="L61">
        <f>VLOOKUP(K61, UserCodes!A:B, 2, FALSE)</f>
        <v/>
      </c>
      <c r="M61" t="inlineStr">
        <is>
          <t>No schedule</t>
        </is>
      </c>
    </row>
    <row r="62">
      <c r="A62" t="inlineStr">
        <is>
          <t>Yusuf 2, Khadra</t>
        </is>
      </c>
      <c r="B62" s="3" t="n">
        <v>46012</v>
      </c>
      <c r="C62" t="inlineStr">
        <is>
          <t>10:00 AM - 12:30 PM</t>
        </is>
      </c>
      <c r="D62" t="inlineStr">
        <is>
          <t>02:30</t>
        </is>
      </c>
      <c r="E62">
        <f>HOUR(D62)+MINUTE(D62)/100</f>
        <v/>
      </c>
      <c r="F62">
        <f>ROUND(INT(E62) + (E62 - INT(E62)) * 100 / 60, 2)</f>
        <v/>
      </c>
      <c r="G62">
        <f>E62*4</f>
        <v/>
      </c>
      <c r="H62">
        <f>LET(total, INT(E62)*60 + (E62-INT(E62))*100, blocks, QUOTIENT(total, 15), extra, MOD(total, 15), units, blocks + IF(extra&gt;=8, 1, 0), units)</f>
        <v/>
      </c>
      <c r="J62">
        <f>IF(L62="Level 1", VLOOKUP(I62, UserCodes!E:F, 2, FALSE) * H62, IF(L62="Level 2", VLOOKUP(I62, UserCodes!E:F, 2, FALSE) * H62 * 0.8, 0))</f>
        <v/>
      </c>
      <c r="K62" t="inlineStr">
        <is>
          <t>Ahmed, Jama</t>
        </is>
      </c>
      <c r="L62">
        <f>VLOOKUP(K62, UserCodes!A:B, 2, FALSE)</f>
        <v/>
      </c>
      <c r="M62" t="inlineStr">
        <is>
          <t>No schedule</t>
        </is>
      </c>
    </row>
    <row r="63">
      <c r="A63" t="inlineStr">
        <is>
          <t>Yusuf, Khadija</t>
        </is>
      </c>
      <c r="B63" s="3" t="n">
        <v>46011</v>
      </c>
      <c r="C63" t="inlineStr">
        <is>
          <t>09:30 AM - 11:30 AM</t>
        </is>
      </c>
      <c r="D63" t="inlineStr">
        <is>
          <t>02:00</t>
        </is>
      </c>
      <c r="E63">
        <f>HOUR(D63)+MINUTE(D63)/100</f>
        <v/>
      </c>
      <c r="F63">
        <f>ROUND(INT(E63) + (E63 - INT(E63)) * 100 / 60, 2)</f>
        <v/>
      </c>
      <c r="G63">
        <f>E63*4</f>
        <v/>
      </c>
      <c r="H63">
        <f>LET(total, INT(E63)*60 + (E63-INT(E63))*100, blocks, QUOTIENT(total, 15), extra, MOD(total, 15), units, blocks + IF(extra&gt;=8, 1, 0), units)</f>
        <v/>
      </c>
      <c r="J63">
        <f>IF(L63="Level 1", VLOOKUP(I63, UserCodes!E:F, 2, FALSE) * H63, IF(L63="Level 2", VLOOKUP(I63, UserCodes!E:F, 2, FALSE) * H63 * 0.8, 0))</f>
        <v/>
      </c>
      <c r="K63" t="inlineStr">
        <is>
          <t>Ahmed, Jama</t>
        </is>
      </c>
      <c r="L63">
        <f>VLOOKUP(K63, UserCodes!A:B, 2, FALSE)</f>
        <v/>
      </c>
      <c r="M63" t="inlineStr">
        <is>
          <t>No schedule</t>
        </is>
      </c>
    </row>
    <row r="64">
      <c r="A64" t="inlineStr">
        <is>
          <t>Yusuf, Khadija</t>
        </is>
      </c>
      <c r="B64" s="3" t="n">
        <v>46010</v>
      </c>
      <c r="C64" t="inlineStr">
        <is>
          <t>02:30 PM - 04:00 PM</t>
        </is>
      </c>
      <c r="D64" t="inlineStr">
        <is>
          <t>01:30</t>
        </is>
      </c>
      <c r="E64">
        <f>HOUR(D64)+MINUTE(D64)/100</f>
        <v/>
      </c>
      <c r="F64">
        <f>ROUND(INT(E64) + (E64 - INT(E64)) * 100 / 60, 2)</f>
        <v/>
      </c>
      <c r="G64">
        <f>E64*4</f>
        <v/>
      </c>
      <c r="H64">
        <f>LET(total, INT(E64)*60 + (E64-INT(E64))*100, blocks, QUOTIENT(total, 15), extra, MOD(total, 15), units, blocks + IF(extra&gt;=8, 1, 0), units)</f>
        <v/>
      </c>
      <c r="J64">
        <f>IF(L64="Level 1", VLOOKUP(I64, UserCodes!E:F, 2, FALSE) * H64, IF(L64="Level 2", VLOOKUP(I64, UserCodes!E:F, 2, FALSE) * H64 * 0.8, 0))</f>
        <v/>
      </c>
      <c r="K64" t="inlineStr">
        <is>
          <t>Muse, Ayni</t>
        </is>
      </c>
      <c r="L64">
        <f>VLOOKUP(K64, UserCodes!A:B, 2, FALSE)</f>
        <v/>
      </c>
      <c r="M64" t="inlineStr">
        <is>
          <t>No schedule</t>
        </is>
      </c>
    </row>
    <row r="65">
      <c r="A65" t="inlineStr">
        <is>
          <t>Yusuf, Khadija</t>
        </is>
      </c>
      <c r="B65" s="3" t="n">
        <v>46010</v>
      </c>
      <c r="C65" t="inlineStr">
        <is>
          <t>02:30 PM - 06:00 PM</t>
        </is>
      </c>
      <c r="D65" t="inlineStr">
        <is>
          <t>03:30</t>
        </is>
      </c>
      <c r="E65">
        <f>HOUR(D65)+MINUTE(D65)/100</f>
        <v/>
      </c>
      <c r="F65">
        <f>ROUND(INT(E65) + (E65 - INT(E65)) * 100 / 60, 2)</f>
        <v/>
      </c>
      <c r="G65">
        <f>E65*4</f>
        <v/>
      </c>
      <c r="H65">
        <f>LET(total, INT(E65)*60 + (E65-INT(E65))*100, blocks, QUOTIENT(total, 15), extra, MOD(total, 15), units, blocks + IF(extra&gt;=8, 1, 0), units)</f>
        <v/>
      </c>
      <c r="J65">
        <f>IF(L65="Level 1", VLOOKUP(I65, UserCodes!E:F, 2, FALSE) * H65, IF(L65="Level 2", VLOOKUP(I65, UserCodes!E:F, 2, FALSE) * H65 * 0.8, 0))</f>
        <v/>
      </c>
      <c r="K65" t="inlineStr">
        <is>
          <t>Ran, Sameya</t>
        </is>
      </c>
      <c r="L65">
        <f>VLOOKUP(K65, UserCodes!A:B, 2, FALSE)</f>
        <v/>
      </c>
      <c r="M65" t="inlineStr">
        <is>
          <t>No schedule</t>
        </is>
      </c>
    </row>
    <row r="66">
      <c r="A66" t="inlineStr">
        <is>
          <t>Yusuf, Khadija</t>
        </is>
      </c>
      <c r="B66" s="3" t="n">
        <v>46006</v>
      </c>
      <c r="C66" t="inlineStr">
        <is>
          <t>10:00 AM - 12:00 PM</t>
        </is>
      </c>
      <c r="D66" t="inlineStr">
        <is>
          <t>02:00</t>
        </is>
      </c>
      <c r="E66">
        <f>HOUR(D66)+MINUTE(D66)/100</f>
        <v/>
      </c>
      <c r="F66">
        <f>ROUND(INT(E66) + (E66 - INT(E66)) * 100 / 60, 2)</f>
        <v/>
      </c>
      <c r="G66">
        <f>E66*4</f>
        <v/>
      </c>
      <c r="H66">
        <f>LET(total, INT(E66)*60 + (E66-INT(E66))*100, blocks, QUOTIENT(total, 15), extra, MOD(total, 15), units, blocks + IF(extra&gt;=8, 1, 0), units)</f>
        <v/>
      </c>
      <c r="J66">
        <f>IF(L66="Level 1", VLOOKUP(I66, UserCodes!E:F, 2, FALSE) * H66, IF(L66="Level 2", VLOOKUP(I66, UserCodes!E:F, 2, FALSE) * H66 * 0.8, 0))</f>
        <v/>
      </c>
      <c r="K66" t="inlineStr">
        <is>
          <t>Ahmed, Jama</t>
        </is>
      </c>
      <c r="L66">
        <f>VLOOKUP(K66, UserCodes!A:B, 2, FALSE)</f>
        <v/>
      </c>
      <c r="M66" t="inlineStr">
        <is>
          <t>No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Service Date</t>
        </is>
      </c>
      <c r="C1" s="1" t="inlineStr">
        <is>
          <t>Session Time</t>
        </is>
      </c>
      <c r="D1" s="1" t="inlineStr">
        <is>
          <t>Session Duration</t>
        </is>
      </c>
      <c r="E1" s="1" t="inlineStr">
        <is>
          <t>Hours</t>
        </is>
      </c>
      <c r="F1" s="1" t="inlineStr">
        <is>
          <t>Pay</t>
        </is>
      </c>
      <c r="G1" s="1" t="inlineStr">
        <is>
          <t>Units</t>
        </is>
      </c>
      <c r="H1" s="1" t="inlineStr">
        <is>
          <t>FNF</t>
        </is>
      </c>
      <c r="I1" s="1" t="inlineStr">
        <is>
          <t>Code</t>
        </is>
      </c>
      <c r="J1" s="1" t="inlineStr">
        <is>
          <t>Charged Amount</t>
        </is>
      </c>
      <c r="K1" s="1" t="inlineStr">
        <is>
          <t>User</t>
        </is>
      </c>
      <c r="L1" s="1" t="inlineStr">
        <is>
          <t>Level</t>
        </is>
      </c>
      <c r="M1" s="1" t="inlineStr">
        <is>
          <t>Note</t>
        </is>
      </c>
      <c r="N1" s="1" t="inlineStr">
        <is>
          <t>Unbilled notes</t>
        </is>
      </c>
      <c r="O1" s="1" t="inlineStr">
        <is>
          <t>Expiration Date</t>
        </is>
      </c>
    </row>
    <row r="2">
      <c r="A2" t="inlineStr">
        <is>
          <t>Mohamed, Sumaya</t>
        </is>
      </c>
      <c r="B2" s="3" t="n">
        <v>46001</v>
      </c>
      <c r="C2" t="inlineStr">
        <is>
          <t>12:00pm - 03:30pm</t>
        </is>
      </c>
      <c r="I2" t="inlineStr">
        <is>
          <t>1/1 
97153</t>
        </is>
      </c>
      <c r="K2" t="inlineStr">
        <is>
          <t>Muse, Adna</t>
        </is>
      </c>
    </row>
    <row r="3">
      <c r="A3" t="inlineStr">
        <is>
          <t>Mohamed, Sumaya</t>
        </is>
      </c>
      <c r="B3" s="3" t="n">
        <v>46001</v>
      </c>
      <c r="C3" t="inlineStr">
        <is>
          <t>12:00pm - 03:30pm</t>
        </is>
      </c>
      <c r="I3" t="inlineStr">
        <is>
          <t>O&amp;D 
97155</t>
        </is>
      </c>
      <c r="K3" t="inlineStr">
        <is>
          <t>Muse, Aaliya</t>
        </is>
      </c>
    </row>
    <row r="4">
      <c r="A4" t="inlineStr">
        <is>
          <t>Yusuf, Khadija</t>
        </is>
      </c>
      <c r="B4" s="3" t="n">
        <v>46001</v>
      </c>
      <c r="C4" t="inlineStr">
        <is>
          <t>01:00pm - 05:30pm</t>
        </is>
      </c>
      <c r="I4" t="inlineStr">
        <is>
          <t>1/1 
97153</t>
        </is>
      </c>
      <c r="K4" t="inlineStr">
        <is>
          <t>Ali, Naima</t>
        </is>
      </c>
    </row>
    <row r="5">
      <c r="A5" t="inlineStr">
        <is>
          <t>Yusuf 2, Khadra</t>
        </is>
      </c>
      <c r="B5" s="3" t="n">
        <v>46001</v>
      </c>
      <c r="C5" t="inlineStr">
        <is>
          <t>01:00pm - 05:00pm</t>
        </is>
      </c>
      <c r="I5" t="inlineStr">
        <is>
          <t>1/1 
97153</t>
        </is>
      </c>
      <c r="K5" t="inlineStr">
        <is>
          <t>Noor, Kamilo</t>
        </is>
      </c>
    </row>
    <row r="6">
      <c r="A6" t="inlineStr">
        <is>
          <t>Yusuf, Khadija</t>
        </is>
      </c>
      <c r="B6" s="3" t="n">
        <v>46001</v>
      </c>
      <c r="C6" t="inlineStr">
        <is>
          <t>01:00pm - 04:00pm</t>
        </is>
      </c>
      <c r="I6" t="inlineStr">
        <is>
          <t>O&amp;D 
97155</t>
        </is>
      </c>
      <c r="K6" t="inlineStr">
        <is>
          <t>Muse, Ayni</t>
        </is>
      </c>
    </row>
    <row r="7">
      <c r="A7" t="inlineStr">
        <is>
          <t>Abdulkadir, Nadra</t>
        </is>
      </c>
      <c r="B7" s="3" t="n">
        <v>46001</v>
      </c>
      <c r="C7" t="inlineStr">
        <is>
          <t>01:30pm - 06:30pm</t>
        </is>
      </c>
      <c r="I7" t="inlineStr">
        <is>
          <t>1/1 
97153</t>
        </is>
      </c>
      <c r="K7" t="inlineStr">
        <is>
          <t>Ali, Amira</t>
        </is>
      </c>
    </row>
    <row r="8">
      <c r="A8" t="inlineStr">
        <is>
          <t>Abdulkadir, Nadra</t>
        </is>
      </c>
      <c r="B8" s="3" t="n">
        <v>46001</v>
      </c>
      <c r="C8" t="inlineStr">
        <is>
          <t>01:30pm - 04:30pm</t>
        </is>
      </c>
      <c r="I8" t="inlineStr">
        <is>
          <t>O&amp;D 
97155</t>
        </is>
      </c>
      <c r="K8" t="inlineStr">
        <is>
          <t>mohamed, Madar</t>
        </is>
      </c>
    </row>
    <row r="9">
      <c r="A9" t="inlineStr">
        <is>
          <t>Kadir, Hamdi</t>
        </is>
      </c>
      <c r="B9" s="3" t="n">
        <v>46001</v>
      </c>
      <c r="C9" t="inlineStr">
        <is>
          <t>02:00pm - 05:00pm</t>
        </is>
      </c>
      <c r="I9" t="inlineStr">
        <is>
          <t>1/1 
97153</t>
        </is>
      </c>
      <c r="K9" t="inlineStr">
        <is>
          <t>Hashi, Ridwan</t>
        </is>
      </c>
    </row>
    <row r="10">
      <c r="A10" t="inlineStr">
        <is>
          <t>Kadir, Hamdi</t>
        </is>
      </c>
      <c r="B10" s="3" t="n">
        <v>46001</v>
      </c>
      <c r="C10" t="inlineStr">
        <is>
          <t>03:30pm - 05:00pm</t>
        </is>
      </c>
      <c r="I10" t="inlineStr">
        <is>
          <t>O&amp;D 
97155</t>
        </is>
      </c>
      <c r="K10" t="inlineStr">
        <is>
          <t>Muse, Adna</t>
        </is>
      </c>
    </row>
    <row r="11">
      <c r="A11" t="inlineStr">
        <is>
          <t>Abdulkadir, Nadra</t>
        </is>
      </c>
      <c r="B11" s="3" t="n">
        <v>46002</v>
      </c>
      <c r="C11" t="inlineStr">
        <is>
          <t>11:30am - 06:30pm</t>
        </is>
      </c>
      <c r="I11" t="inlineStr">
        <is>
          <t>1/1 
97153</t>
        </is>
      </c>
      <c r="K11" t="inlineStr">
        <is>
          <t>Ali, Nasteho</t>
        </is>
      </c>
    </row>
    <row r="12">
      <c r="A12" t="inlineStr">
        <is>
          <t>Abdulkadir, Nadra</t>
        </is>
      </c>
      <c r="B12" s="3" t="n">
        <v>46002</v>
      </c>
      <c r="C12" t="inlineStr">
        <is>
          <t>11:30am - 02:30pm</t>
        </is>
      </c>
      <c r="I12" t="inlineStr">
        <is>
          <t>O&amp;D 
97155</t>
        </is>
      </c>
      <c r="K12" t="inlineStr">
        <is>
          <t>mohamed, Madar</t>
        </is>
      </c>
    </row>
    <row r="13">
      <c r="A13" t="inlineStr">
        <is>
          <t>Yusuf, Khadija</t>
        </is>
      </c>
      <c r="B13" s="3" t="n">
        <v>46002</v>
      </c>
      <c r="C13" t="inlineStr">
        <is>
          <t>01:00pm - 06:00pm</t>
        </is>
      </c>
      <c r="I13" t="inlineStr">
        <is>
          <t>1/1 
97153</t>
        </is>
      </c>
      <c r="K13" t="inlineStr">
        <is>
          <t>Ran, Sameya</t>
        </is>
      </c>
    </row>
    <row r="14">
      <c r="A14" t="inlineStr">
        <is>
          <t>Yusuf 2, Khadra</t>
        </is>
      </c>
      <c r="B14" s="3" t="n">
        <v>46002</v>
      </c>
      <c r="C14" t="inlineStr">
        <is>
          <t>01:00pm - 06:00pm</t>
        </is>
      </c>
      <c r="I14" t="inlineStr">
        <is>
          <t>1/1 
97153</t>
        </is>
      </c>
      <c r="K14" t="inlineStr">
        <is>
          <t>Hashi, Ridwan</t>
        </is>
      </c>
    </row>
    <row r="15">
      <c r="A15" t="inlineStr">
        <is>
          <t>Yusuf, Khadija</t>
        </is>
      </c>
      <c r="B15" s="3" t="n">
        <v>46002</v>
      </c>
      <c r="C15" t="inlineStr">
        <is>
          <t>01:00pm - 03:30pm</t>
        </is>
      </c>
      <c r="I15" t="inlineStr">
        <is>
          <t>1/1 
97153</t>
        </is>
      </c>
      <c r="K15" t="inlineStr">
        <is>
          <t>Noor, Kamilo</t>
        </is>
      </c>
    </row>
    <row r="16">
      <c r="A16" t="inlineStr">
        <is>
          <t>Abdullahi, Abdirahman</t>
        </is>
      </c>
      <c r="B16" s="3" t="n">
        <v>46002</v>
      </c>
      <c r="C16" t="inlineStr">
        <is>
          <t>01:00pm - 05:00pm</t>
        </is>
      </c>
      <c r="I16" t="inlineStr">
        <is>
          <t>1/1 
97153</t>
        </is>
      </c>
      <c r="K16" t="inlineStr">
        <is>
          <t>Ali, Amira</t>
        </is>
      </c>
    </row>
    <row r="17">
      <c r="A17" t="inlineStr">
        <is>
          <t>Abdullahi, Abdirahman</t>
        </is>
      </c>
      <c r="B17" s="3" t="n">
        <v>46002</v>
      </c>
      <c r="C17" t="inlineStr">
        <is>
          <t>01:00pm - 04:00pm</t>
        </is>
      </c>
      <c r="I17" t="inlineStr">
        <is>
          <t>O&amp;D 
97155</t>
        </is>
      </c>
      <c r="K17" t="inlineStr">
        <is>
          <t>Hawadle, Abdiaziz</t>
        </is>
      </c>
    </row>
    <row r="18">
      <c r="A18" t="inlineStr">
        <is>
          <t>Yusuf 2, Khadra</t>
        </is>
      </c>
      <c r="B18" s="3" t="n">
        <v>46002</v>
      </c>
      <c r="C18" t="inlineStr">
        <is>
          <t>01:00pm - 03:00pm</t>
        </is>
      </c>
      <c r="I18" t="inlineStr">
        <is>
          <t>O&amp;D 
97155</t>
        </is>
      </c>
      <c r="K18" t="inlineStr">
        <is>
          <t>Muse, Ayni</t>
        </is>
      </c>
    </row>
    <row r="19">
      <c r="A19" t="inlineStr">
        <is>
          <t>Kadir, Hamdi</t>
        </is>
      </c>
      <c r="B19" s="3" t="n">
        <v>46002</v>
      </c>
      <c r="C19" t="inlineStr">
        <is>
          <t>02:00pm - 08:00pm</t>
        </is>
      </c>
      <c r="I19" t="inlineStr">
        <is>
          <t>1/1 
97153</t>
        </is>
      </c>
      <c r="K19" t="inlineStr">
        <is>
          <t>Mohamed, Samsam</t>
        </is>
      </c>
    </row>
    <row r="20">
      <c r="A20" t="inlineStr">
        <is>
          <t>Kadir, Hamdi</t>
        </is>
      </c>
      <c r="B20" s="3" t="n">
        <v>46002</v>
      </c>
      <c r="C20" t="inlineStr">
        <is>
          <t>02:00pm - 05:00pm</t>
        </is>
      </c>
      <c r="I20" t="inlineStr">
        <is>
          <t>O&amp;D 
97155</t>
        </is>
      </c>
      <c r="K20" t="inlineStr">
        <is>
          <t>Muse, Adna</t>
        </is>
      </c>
    </row>
    <row r="21">
      <c r="A21" t="inlineStr">
        <is>
          <t>Abdi, Mohamed</t>
        </is>
      </c>
      <c r="B21" s="3" t="n">
        <v>46002</v>
      </c>
      <c r="C21" t="inlineStr">
        <is>
          <t>03:00pm - 08:00pm</t>
        </is>
      </c>
      <c r="I21" t="inlineStr">
        <is>
          <t>1/1 
97153</t>
        </is>
      </c>
      <c r="K21" t="inlineStr">
        <is>
          <t>Omar, Mohamed</t>
        </is>
      </c>
    </row>
    <row r="22">
      <c r="A22" t="inlineStr">
        <is>
          <t>Abdi, Safia</t>
        </is>
      </c>
      <c r="B22" s="3" t="n">
        <v>46002</v>
      </c>
      <c r="C22" t="inlineStr">
        <is>
          <t>03:15pm - 08:00pm</t>
        </is>
      </c>
      <c r="I22" t="inlineStr">
        <is>
          <t>1/1 
97153</t>
        </is>
      </c>
      <c r="K22" t="inlineStr">
        <is>
          <t>Muse, Ayni</t>
        </is>
      </c>
    </row>
    <row r="23">
      <c r="A23" t="inlineStr">
        <is>
          <t>Abdi, Salman</t>
        </is>
      </c>
      <c r="B23" s="3" t="n">
        <v>46002</v>
      </c>
      <c r="C23" t="inlineStr">
        <is>
          <t>03:15pm - 08:00pm</t>
        </is>
      </c>
      <c r="I23" t="inlineStr">
        <is>
          <t>1/1 
97153</t>
        </is>
      </c>
      <c r="K23" t="inlineStr">
        <is>
          <t>Mohamed, Mohamed</t>
        </is>
      </c>
    </row>
    <row r="24">
      <c r="A24" t="inlineStr">
        <is>
          <t>Abdi, Salman</t>
        </is>
      </c>
      <c r="B24" s="3" t="n">
        <v>46002</v>
      </c>
      <c r="C24" t="inlineStr">
        <is>
          <t>03:15pm - 06:15pm</t>
        </is>
      </c>
      <c r="I24" t="inlineStr">
        <is>
          <t>O&amp;D 
97155</t>
        </is>
      </c>
      <c r="K24" t="inlineStr">
        <is>
          <t>mohamed, Madar</t>
        </is>
      </c>
    </row>
    <row r="25">
      <c r="A25" t="inlineStr">
        <is>
          <t>Jama, Khadija</t>
        </is>
      </c>
      <c r="B25" s="3" t="n">
        <v>46002</v>
      </c>
      <c r="C25" t="inlineStr">
        <is>
          <t>03:30pm - 08:00pm</t>
        </is>
      </c>
      <c r="I25" t="inlineStr">
        <is>
          <t>1/1 
97153</t>
        </is>
      </c>
      <c r="K25" t="inlineStr">
        <is>
          <t>Noor, Kamilo</t>
        </is>
      </c>
    </row>
    <row r="26">
      <c r="A26" t="inlineStr">
        <is>
          <t>Ali, Saami</t>
        </is>
      </c>
      <c r="B26" s="3" t="n">
        <v>46002</v>
      </c>
      <c r="C26" t="inlineStr">
        <is>
          <t>03:30pm - 08:00pm</t>
        </is>
      </c>
      <c r="I26" t="inlineStr">
        <is>
          <t>1/1 
97153</t>
        </is>
      </c>
      <c r="K26" t="inlineStr">
        <is>
          <t>Muse, Aaliya</t>
        </is>
      </c>
    </row>
    <row r="27">
      <c r="A27" t="inlineStr">
        <is>
          <t>Abdi, Samira</t>
        </is>
      </c>
      <c r="B27" s="3" t="n">
        <v>46002</v>
      </c>
      <c r="C27" t="inlineStr">
        <is>
          <t>04:00pm - 08:00pm</t>
        </is>
      </c>
      <c r="I27" t="inlineStr">
        <is>
          <t>1/1 
97153</t>
        </is>
      </c>
      <c r="K27" t="inlineStr">
        <is>
          <t>Muse, Nawaal</t>
        </is>
      </c>
    </row>
    <row r="28">
      <c r="A28" t="inlineStr">
        <is>
          <t>Abdi, Mohamed</t>
        </is>
      </c>
      <c r="B28" s="3" t="n">
        <v>46002</v>
      </c>
      <c r="C28" t="inlineStr">
        <is>
          <t>04:00pm - 07:00pm</t>
        </is>
      </c>
      <c r="I28" t="inlineStr">
        <is>
          <t>O&amp;D 
97155</t>
        </is>
      </c>
      <c r="K28" t="inlineStr">
        <is>
          <t>Hawadle, Abdiaziz</t>
        </is>
      </c>
    </row>
    <row r="29">
      <c r="A29" t="inlineStr">
        <is>
          <t>Sulub, Sharmake</t>
        </is>
      </c>
      <c r="B29" s="3" t="n">
        <v>46002</v>
      </c>
      <c r="C29" t="inlineStr">
        <is>
          <t>04:00pm - 08:00pm</t>
        </is>
      </c>
      <c r="I29" t="inlineStr">
        <is>
          <t>1/1 
97153</t>
        </is>
      </c>
      <c r="K29" t="inlineStr">
        <is>
          <t>Osman, Basra</t>
        </is>
      </c>
    </row>
    <row r="30">
      <c r="A30" t="inlineStr">
        <is>
          <t>Ali, Saami</t>
        </is>
      </c>
      <c r="B30" s="3" t="n">
        <v>46002</v>
      </c>
      <c r="C30" t="inlineStr">
        <is>
          <t>05:00pm - 08:00pm</t>
        </is>
      </c>
      <c r="I30" t="inlineStr">
        <is>
          <t>O&amp;D 
97155</t>
        </is>
      </c>
      <c r="K30" t="inlineStr">
        <is>
          <t>Ibrahim, Ahmed</t>
        </is>
      </c>
    </row>
    <row r="31">
      <c r="A31" t="inlineStr">
        <is>
          <t>Abdi, Safia</t>
        </is>
      </c>
      <c r="B31" s="3" t="n">
        <v>46002</v>
      </c>
      <c r="C31" t="inlineStr">
        <is>
          <t>05:00pm - 08:00pm</t>
        </is>
      </c>
      <c r="I31" t="inlineStr">
        <is>
          <t>O&amp;D 
97155</t>
        </is>
      </c>
      <c r="K31" t="inlineStr">
        <is>
          <t>Muse, Adna</t>
        </is>
      </c>
    </row>
    <row r="32">
      <c r="A32" t="inlineStr">
        <is>
          <t>Abdi, Samira</t>
        </is>
      </c>
      <c r="B32" s="3" t="n">
        <v>46002</v>
      </c>
      <c r="C32" t="inlineStr">
        <is>
          <t>06:30pm - 08:00pm</t>
        </is>
      </c>
      <c r="I32" t="inlineStr">
        <is>
          <t>O&amp;D 
97155</t>
        </is>
      </c>
      <c r="K32" t="inlineStr">
        <is>
          <t>Ali, Nasteho</t>
        </is>
      </c>
    </row>
    <row r="33">
      <c r="A33" t="inlineStr">
        <is>
          <t>Kadir, Hamdi</t>
        </is>
      </c>
      <c r="B33" s="3" t="n">
        <v>46003</v>
      </c>
      <c r="C33" t="inlineStr">
        <is>
          <t>12:00pm - 08:00pm</t>
        </is>
      </c>
      <c r="I33" t="inlineStr">
        <is>
          <t>1/1 
97153</t>
        </is>
      </c>
      <c r="K33" t="inlineStr">
        <is>
          <t>Mohamed, Samsam</t>
        </is>
      </c>
    </row>
    <row r="34">
      <c r="A34" t="inlineStr">
        <is>
          <t>Kadir, Hamdi</t>
        </is>
      </c>
      <c r="B34" s="3" t="n">
        <v>46003</v>
      </c>
      <c r="C34" t="inlineStr">
        <is>
          <t>12:00pm - 03:00pm</t>
        </is>
      </c>
      <c r="I34" t="inlineStr">
        <is>
          <t>O&amp;D 
97155</t>
        </is>
      </c>
      <c r="K34" t="inlineStr">
        <is>
          <t>Muse, Adna</t>
        </is>
      </c>
    </row>
    <row r="35">
      <c r="A35" t="inlineStr">
        <is>
          <t>Abdullahi, Abdirahman</t>
        </is>
      </c>
      <c r="B35" s="3" t="n">
        <v>46003</v>
      </c>
      <c r="C35" t="inlineStr">
        <is>
          <t>12:00pm - 05:00pm</t>
        </is>
      </c>
      <c r="I35" t="inlineStr">
        <is>
          <t>1/1 
97153</t>
        </is>
      </c>
      <c r="K35" t="inlineStr">
        <is>
          <t>Mohamed, Mohamed</t>
        </is>
      </c>
    </row>
    <row r="36">
      <c r="A36" t="inlineStr">
        <is>
          <t>Abdullahi, Abdirahman</t>
        </is>
      </c>
      <c r="B36" s="3" t="n">
        <v>46003</v>
      </c>
      <c r="C36" t="inlineStr">
        <is>
          <t>12:00pm - 03:00pm</t>
        </is>
      </c>
      <c r="I36" t="inlineStr">
        <is>
          <t>O&amp;D 
97155</t>
        </is>
      </c>
      <c r="K36" t="inlineStr">
        <is>
          <t>Hawadle, Abdiaziz</t>
        </is>
      </c>
    </row>
    <row r="37">
      <c r="A37" t="inlineStr">
        <is>
          <t>Yusuf, Khadija</t>
        </is>
      </c>
      <c r="B37" s="3" t="n">
        <v>46003</v>
      </c>
      <c r="C37" t="inlineStr">
        <is>
          <t>01:00pm - 06:00pm</t>
        </is>
      </c>
      <c r="I37" t="inlineStr">
        <is>
          <t>1/1 
97153</t>
        </is>
      </c>
      <c r="K37" t="inlineStr">
        <is>
          <t>Hashi, Ridwan</t>
        </is>
      </c>
    </row>
    <row r="38">
      <c r="A38" t="inlineStr">
        <is>
          <t>Yusuf, Khadija</t>
        </is>
      </c>
      <c r="B38" s="3" t="n">
        <v>46003</v>
      </c>
      <c r="C38" t="inlineStr">
        <is>
          <t>01:00pm - 03:00pm</t>
        </is>
      </c>
      <c r="I38" t="inlineStr">
        <is>
          <t>O&amp;D 
97155</t>
        </is>
      </c>
      <c r="K38" t="inlineStr">
        <is>
          <t>Noor, Kamilo</t>
        </is>
      </c>
    </row>
    <row r="39">
      <c r="A39" t="inlineStr">
        <is>
          <t>Yusuf 2, Khadra</t>
        </is>
      </c>
      <c r="B39" s="3" t="n">
        <v>46003</v>
      </c>
      <c r="C39" t="inlineStr">
        <is>
          <t>01:00pm - 06:00pm</t>
        </is>
      </c>
      <c r="I39" t="inlineStr">
        <is>
          <t>1/1 
97153</t>
        </is>
      </c>
      <c r="K39" t="inlineStr">
        <is>
          <t>Ali, Naima</t>
        </is>
      </c>
    </row>
    <row r="40">
      <c r="A40" t="inlineStr">
        <is>
          <t>Abdulkadir, Nadra</t>
        </is>
      </c>
      <c r="B40" s="3" t="n">
        <v>46003</v>
      </c>
      <c r="C40" t="inlineStr">
        <is>
          <t>01:30pm - 06:30pm</t>
        </is>
      </c>
      <c r="I40" t="inlineStr">
        <is>
          <t>1/1 
97153</t>
        </is>
      </c>
      <c r="K40" t="inlineStr">
        <is>
          <t>Ali, Nasteho</t>
        </is>
      </c>
    </row>
    <row r="41">
      <c r="A41" t="inlineStr">
        <is>
          <t>Abdulkadir, Nadra</t>
        </is>
      </c>
      <c r="B41" s="3" t="n">
        <v>46003</v>
      </c>
      <c r="C41" t="inlineStr">
        <is>
          <t>01:30pm - 04:30pm</t>
        </is>
      </c>
      <c r="I41" t="inlineStr">
        <is>
          <t>O&amp;D 
97155</t>
        </is>
      </c>
      <c r="K41" t="inlineStr">
        <is>
          <t>mohamed, Madar</t>
        </is>
      </c>
    </row>
    <row r="42">
      <c r="A42" t="inlineStr">
        <is>
          <t>Abdi, Mohamed</t>
        </is>
      </c>
      <c r="B42" s="3" t="n">
        <v>46003</v>
      </c>
      <c r="C42" t="inlineStr">
        <is>
          <t>03:00pm - 08:00pm</t>
        </is>
      </c>
      <c r="I42" t="inlineStr">
        <is>
          <t>1/1 
97153</t>
        </is>
      </c>
      <c r="K42" t="inlineStr">
        <is>
          <t>Osman, Basra</t>
        </is>
      </c>
    </row>
    <row r="43">
      <c r="A43" t="inlineStr">
        <is>
          <t>Abdi, Ahmed</t>
        </is>
      </c>
      <c r="B43" s="3" t="n">
        <v>46003</v>
      </c>
      <c r="C43" t="inlineStr">
        <is>
          <t>03:00pm - 05:00pm</t>
        </is>
      </c>
      <c r="I43" t="inlineStr">
        <is>
          <t>1/1 
97153</t>
        </is>
      </c>
      <c r="K43" t="inlineStr">
        <is>
          <t>Hawadle, Abdiaziz</t>
        </is>
      </c>
    </row>
    <row r="44">
      <c r="A44" t="inlineStr">
        <is>
          <t>Abdi, Safia</t>
        </is>
      </c>
      <c r="B44" s="3" t="n">
        <v>46003</v>
      </c>
      <c r="C44" t="inlineStr">
        <is>
          <t>03:15pm - 08:00pm</t>
        </is>
      </c>
      <c r="I44" t="inlineStr">
        <is>
          <t>1/1 
97153</t>
        </is>
      </c>
      <c r="K44" t="inlineStr">
        <is>
          <t>Muse, Nawaal</t>
        </is>
      </c>
    </row>
    <row r="45">
      <c r="A45" t="inlineStr">
        <is>
          <t>Abdi, Safia</t>
        </is>
      </c>
      <c r="B45" s="3" t="n">
        <v>46003</v>
      </c>
      <c r="C45" t="inlineStr">
        <is>
          <t>03:15pm - 06:15pm</t>
        </is>
      </c>
      <c r="I45" t="inlineStr">
        <is>
          <t>O&amp;D 
97155</t>
        </is>
      </c>
      <c r="K45" t="inlineStr">
        <is>
          <t>Muse, Adna</t>
        </is>
      </c>
    </row>
    <row r="46">
      <c r="A46" t="inlineStr">
        <is>
          <t>Abdi, Salman</t>
        </is>
      </c>
      <c r="B46" s="3" t="n">
        <v>46003</v>
      </c>
      <c r="C46" t="inlineStr">
        <is>
          <t>03:15pm - 08:00pm</t>
        </is>
      </c>
      <c r="I46" t="inlineStr">
        <is>
          <t>1/1 
97153</t>
        </is>
      </c>
      <c r="K46" t="inlineStr">
        <is>
          <t>Omar, Mohamed</t>
        </is>
      </c>
    </row>
    <row r="47">
      <c r="A47" t="inlineStr">
        <is>
          <t>Jama, Khadija</t>
        </is>
      </c>
      <c r="B47" s="3" t="n">
        <v>46003</v>
      </c>
      <c r="C47" t="inlineStr">
        <is>
          <t>03:30pm - 08:00pm</t>
        </is>
      </c>
      <c r="I47" t="inlineStr">
        <is>
          <t>1/1 
97153</t>
        </is>
      </c>
      <c r="K47" t="inlineStr">
        <is>
          <t>Barqab, Mushtaq</t>
        </is>
      </c>
    </row>
    <row r="48">
      <c r="A48" t="inlineStr">
        <is>
          <t>Ali, Saami</t>
        </is>
      </c>
      <c r="B48" s="3" t="n">
        <v>46003</v>
      </c>
      <c r="C48" t="inlineStr">
        <is>
          <t>03:30pm - 08:00pm</t>
        </is>
      </c>
      <c r="I48" t="inlineStr">
        <is>
          <t>1/1 
97153</t>
        </is>
      </c>
      <c r="K48" t="inlineStr">
        <is>
          <t>Muse, Aaliya</t>
        </is>
      </c>
    </row>
    <row r="49">
      <c r="A49" t="inlineStr">
        <is>
          <t>Abdi, Samira</t>
        </is>
      </c>
      <c r="B49" s="3" t="n">
        <v>46003</v>
      </c>
      <c r="C49" t="inlineStr">
        <is>
          <t>04:00pm - 08:00pm</t>
        </is>
      </c>
      <c r="I49" t="inlineStr">
        <is>
          <t>1/1 
97153</t>
        </is>
      </c>
      <c r="K49" t="inlineStr">
        <is>
          <t>Abdulle, Zamzam</t>
        </is>
      </c>
    </row>
    <row r="50">
      <c r="A50" t="inlineStr">
        <is>
          <t>Abdi, Samira</t>
        </is>
      </c>
      <c r="B50" s="3" t="n">
        <v>46003</v>
      </c>
      <c r="C50" t="inlineStr">
        <is>
          <t>04:00pm - 08:00pm</t>
        </is>
      </c>
      <c r="I50" t="inlineStr">
        <is>
          <t>1/1 
97153</t>
        </is>
      </c>
      <c r="K50" t="inlineStr">
        <is>
          <t>Muse, Ayni</t>
        </is>
      </c>
    </row>
    <row r="51">
      <c r="A51" t="inlineStr">
        <is>
          <t>Abdi, Ahmed</t>
        </is>
      </c>
      <c r="B51" s="3" t="n">
        <v>46003</v>
      </c>
      <c r="C51" t="inlineStr">
        <is>
          <t>05:00pm - 06:00pm</t>
        </is>
      </c>
      <c r="I51" t="inlineStr">
        <is>
          <t>O&amp;D 
97155</t>
        </is>
      </c>
      <c r="K51" t="inlineStr">
        <is>
          <t>Ibrahim, Ahmed</t>
        </is>
      </c>
    </row>
    <row r="52">
      <c r="A52" t="inlineStr">
        <is>
          <t>Abdi, Ahmed</t>
        </is>
      </c>
      <c r="B52" s="3" t="n">
        <v>46003</v>
      </c>
      <c r="C52" t="inlineStr">
        <is>
          <t>05:00pm - 06:00pm</t>
        </is>
      </c>
      <c r="I52" t="inlineStr">
        <is>
          <t>1/1 
97153</t>
        </is>
      </c>
      <c r="K52" t="inlineStr">
        <is>
          <t>Abdulle, Zamzam</t>
        </is>
      </c>
    </row>
    <row r="53">
      <c r="A53" t="inlineStr">
        <is>
          <t>Abdi, Ahmed</t>
        </is>
      </c>
      <c r="B53" s="3" t="n">
        <v>46003</v>
      </c>
      <c r="C53" t="inlineStr">
        <is>
          <t>06:00pm - 08:00pm</t>
        </is>
      </c>
      <c r="I53" t="inlineStr">
        <is>
          <t>O&amp;D 
97155</t>
        </is>
      </c>
      <c r="K53" t="inlineStr">
        <is>
          <t>Ibrahim, Ahmed</t>
        </is>
      </c>
    </row>
    <row r="54">
      <c r="A54" t="inlineStr">
        <is>
          <t>Abdi, Ahmed</t>
        </is>
      </c>
      <c r="B54" s="3" t="n">
        <v>46003</v>
      </c>
      <c r="C54" t="inlineStr">
        <is>
          <t>06:00pm - 08:00pm</t>
        </is>
      </c>
      <c r="I54" t="inlineStr">
        <is>
          <t>1/1 
97153</t>
        </is>
      </c>
      <c r="K54" t="inlineStr">
        <is>
          <t>Hashi, Ridwan</t>
        </is>
      </c>
    </row>
    <row r="55">
      <c r="A55" t="inlineStr">
        <is>
          <t>Ali, Saami</t>
        </is>
      </c>
      <c r="B55" s="3" t="n">
        <v>46003</v>
      </c>
      <c r="C55" t="inlineStr">
        <is>
          <t>06:15pm - 08:00pm</t>
        </is>
      </c>
      <c r="I55" t="inlineStr">
        <is>
          <t>O&amp;D 
97155</t>
        </is>
      </c>
      <c r="K55" t="inlineStr">
        <is>
          <t>Muse, Adna</t>
        </is>
      </c>
    </row>
    <row r="56">
      <c r="A56" t="inlineStr">
        <is>
          <t>Sulub, Sharmake</t>
        </is>
      </c>
      <c r="B56" s="3" t="n">
        <v>46003</v>
      </c>
      <c r="C56" t="inlineStr">
        <is>
          <t>06:30pm - 08:00pm</t>
        </is>
      </c>
      <c r="I56" t="inlineStr">
        <is>
          <t>O&amp;D 
97155</t>
        </is>
      </c>
      <c r="K56" t="inlineStr">
        <is>
          <t>Ali, Nasteho</t>
        </is>
      </c>
    </row>
    <row r="57">
      <c r="A57" t="inlineStr">
        <is>
          <t>Sulub, Sharmake</t>
        </is>
      </c>
      <c r="B57" s="3" t="n">
        <v>46003</v>
      </c>
      <c r="C57" t="inlineStr">
        <is>
          <t>06:30pm - 08:00pm</t>
        </is>
      </c>
      <c r="I57" t="inlineStr">
        <is>
          <t>1/1 
97153</t>
        </is>
      </c>
      <c r="K57" t="inlineStr">
        <is>
          <t>Abdulle, Zamzam</t>
        </is>
      </c>
    </row>
    <row r="58">
      <c r="A58" t="inlineStr">
        <is>
          <t>Yusuf, Khadija</t>
        </is>
      </c>
      <c r="B58" s="3" t="n">
        <v>46004</v>
      </c>
      <c r="C58" t="inlineStr">
        <is>
          <t>09:00am - 02:00pm</t>
        </is>
      </c>
      <c r="I58" t="inlineStr">
        <is>
          <t>1/1 
97153</t>
        </is>
      </c>
      <c r="K58" t="inlineStr">
        <is>
          <t>Barqab, Mushtaq</t>
        </is>
      </c>
    </row>
    <row r="59">
      <c r="A59" t="inlineStr">
        <is>
          <t>Abdulkadir, Nadra</t>
        </is>
      </c>
      <c r="B59" s="3" t="n">
        <v>46004</v>
      </c>
      <c r="C59" t="inlineStr">
        <is>
          <t>09:00am - 05:00pm</t>
        </is>
      </c>
      <c r="I59" t="inlineStr">
        <is>
          <t>1/1 
97153</t>
        </is>
      </c>
      <c r="K59" t="inlineStr">
        <is>
          <t>Ali, Amira</t>
        </is>
      </c>
    </row>
    <row r="60">
      <c r="A60" t="inlineStr">
        <is>
          <t>Yusuf 2, Khadra</t>
        </is>
      </c>
      <c r="B60" s="3" t="n">
        <v>46004</v>
      </c>
      <c r="C60" t="inlineStr">
        <is>
          <t>09:00am - 05:00pm</t>
        </is>
      </c>
      <c r="I60" t="inlineStr">
        <is>
          <t>1/1 
97153</t>
        </is>
      </c>
      <c r="K60" t="inlineStr">
        <is>
          <t>Ran, Sameya</t>
        </is>
      </c>
    </row>
    <row r="61">
      <c r="A61" t="inlineStr">
        <is>
          <t>Yusuf 2, Khadra</t>
        </is>
      </c>
      <c r="B61" s="3" t="n">
        <v>46004</v>
      </c>
      <c r="C61" t="inlineStr">
        <is>
          <t>09:00am - 12:00pm</t>
        </is>
      </c>
      <c r="I61" t="inlineStr">
        <is>
          <t>1/1 
97153</t>
        </is>
      </c>
      <c r="K61" t="inlineStr">
        <is>
          <t>Muse, Ayni</t>
        </is>
      </c>
    </row>
    <row r="62">
      <c r="A62" t="inlineStr">
        <is>
          <t>Jama, Khadija</t>
        </is>
      </c>
      <c r="B62" s="3" t="n">
        <v>46004</v>
      </c>
      <c r="C62" t="inlineStr">
        <is>
          <t>10:00am - 03:00pm</t>
        </is>
      </c>
      <c r="I62" t="inlineStr">
        <is>
          <t>1/1 
97153</t>
        </is>
      </c>
      <c r="K62" t="inlineStr">
        <is>
          <t>Abdulle, Zamzam</t>
        </is>
      </c>
    </row>
    <row r="63">
      <c r="A63" t="inlineStr">
        <is>
          <t>Kadir, Hamdi</t>
        </is>
      </c>
      <c r="B63" s="3" t="n">
        <v>46004</v>
      </c>
      <c r="C63" t="inlineStr">
        <is>
          <t>10:00am - 06:00pm</t>
        </is>
      </c>
      <c r="I63" t="inlineStr">
        <is>
          <t>1/1 
97153</t>
        </is>
      </c>
      <c r="K63" t="inlineStr">
        <is>
          <t>Mohamed, Samsam</t>
        </is>
      </c>
    </row>
    <row r="64">
      <c r="A64" t="inlineStr">
        <is>
          <t>Abdi, Safia</t>
        </is>
      </c>
      <c r="B64" s="3" t="n">
        <v>46004</v>
      </c>
      <c r="C64" t="inlineStr">
        <is>
          <t>10:00am - 03:00pm</t>
        </is>
      </c>
      <c r="I64" t="inlineStr">
        <is>
          <t>1/1 
97153</t>
        </is>
      </c>
      <c r="K64" t="inlineStr">
        <is>
          <t>Osman, Basra</t>
        </is>
      </c>
    </row>
    <row r="65">
      <c r="A65" t="inlineStr">
        <is>
          <t>Abdi, Samira</t>
        </is>
      </c>
      <c r="B65" s="3" t="n">
        <v>46004</v>
      </c>
      <c r="C65" t="inlineStr">
        <is>
          <t>10:00am - 06:00pm</t>
        </is>
      </c>
      <c r="I65" t="inlineStr">
        <is>
          <t>1/1 
97153</t>
        </is>
      </c>
      <c r="K65" t="inlineStr">
        <is>
          <t>Muse, Nawaal</t>
        </is>
      </c>
    </row>
    <row r="66">
      <c r="A66" t="inlineStr">
        <is>
          <t>Abdi, Ahmed</t>
        </is>
      </c>
      <c r="B66" s="3" t="n">
        <v>46004</v>
      </c>
      <c r="C66" t="inlineStr">
        <is>
          <t>10:00am - 06:00pm</t>
        </is>
      </c>
      <c r="I66" t="inlineStr">
        <is>
          <t>1/1 
97153</t>
        </is>
      </c>
      <c r="K66" t="inlineStr">
        <is>
          <t>Omar, Mohamed</t>
        </is>
      </c>
    </row>
    <row r="67">
      <c r="A67" t="inlineStr">
        <is>
          <t>Abdi, Mohamed</t>
        </is>
      </c>
      <c r="B67" s="3" t="n">
        <v>46004</v>
      </c>
      <c r="C67" t="inlineStr">
        <is>
          <t>10:00am - 02:40pm</t>
        </is>
      </c>
      <c r="I67" t="inlineStr">
        <is>
          <t>1/1 
97153</t>
        </is>
      </c>
      <c r="K67" t="inlineStr">
        <is>
          <t>Mohamed, Mohamed</t>
        </is>
      </c>
    </row>
    <row r="68">
      <c r="A68" t="inlineStr">
        <is>
          <t>Kadir, Hamdi</t>
        </is>
      </c>
      <c r="B68" s="3" t="n">
        <v>46004</v>
      </c>
      <c r="C68" t="inlineStr">
        <is>
          <t>10:00am - 01:00pm</t>
        </is>
      </c>
      <c r="I68" t="inlineStr">
        <is>
          <t>O&amp;D 
97155</t>
        </is>
      </c>
      <c r="K68" t="inlineStr">
        <is>
          <t>Hawadle, Abdiaziz</t>
        </is>
      </c>
    </row>
    <row r="69">
      <c r="A69" t="inlineStr">
        <is>
          <t>Abdulkadir, Nadra</t>
        </is>
      </c>
      <c r="B69" s="3" t="n">
        <v>46004</v>
      </c>
      <c r="C69" t="inlineStr">
        <is>
          <t>10:00am - 01:00pm</t>
        </is>
      </c>
      <c r="I69" t="inlineStr">
        <is>
          <t>O&amp;D 
97155</t>
        </is>
      </c>
      <c r="K69" t="inlineStr">
        <is>
          <t>mohamed, Madar</t>
        </is>
      </c>
    </row>
    <row r="70">
      <c r="A70" t="inlineStr">
        <is>
          <t>Sulub, Sharmake</t>
        </is>
      </c>
      <c r="B70" s="3" t="n">
        <v>46004</v>
      </c>
      <c r="C70" t="inlineStr">
        <is>
          <t>10:00am - 06:00pm</t>
        </is>
      </c>
      <c r="I70" t="inlineStr">
        <is>
          <t>1/1 
97153</t>
        </is>
      </c>
      <c r="K70" t="inlineStr">
        <is>
          <t>Ali, Nasteho</t>
        </is>
      </c>
    </row>
    <row r="71">
      <c r="A71" t="inlineStr">
        <is>
          <t>Abdi, Samira</t>
        </is>
      </c>
      <c r="B71" s="3" t="n">
        <v>46004</v>
      </c>
      <c r="C71" t="inlineStr">
        <is>
          <t>10:00am - 01:00pm</t>
        </is>
      </c>
      <c r="I71" t="inlineStr">
        <is>
          <t>O&amp;D 
97155</t>
        </is>
      </c>
      <c r="K71" t="inlineStr">
        <is>
          <t>Muse, Adna</t>
        </is>
      </c>
    </row>
    <row r="72">
      <c r="A72" t="inlineStr">
        <is>
          <t>Yusuf, Khadija</t>
        </is>
      </c>
      <c r="B72" s="3" t="n">
        <v>46004</v>
      </c>
      <c r="C72" t="inlineStr">
        <is>
          <t>10:30am - 01:30pm</t>
        </is>
      </c>
      <c r="I72" t="inlineStr">
        <is>
          <t>O&amp;D 
97155</t>
        </is>
      </c>
      <c r="K72" t="inlineStr">
        <is>
          <t>Ibrahim, Ahmed</t>
        </is>
      </c>
    </row>
    <row r="73">
      <c r="A73" t="inlineStr">
        <is>
          <t>Jama, Khadija</t>
        </is>
      </c>
      <c r="B73" s="3" t="n">
        <v>46004</v>
      </c>
      <c r="C73" t="inlineStr">
        <is>
          <t>12:00pm - 03:00pm</t>
        </is>
      </c>
      <c r="I73" t="inlineStr">
        <is>
          <t>O&amp;D 
97155</t>
        </is>
      </c>
      <c r="K73" t="inlineStr">
        <is>
          <t>Muse, Ayni</t>
        </is>
      </c>
    </row>
    <row r="74">
      <c r="A74" t="inlineStr">
        <is>
          <t>Sulub, Sharmake</t>
        </is>
      </c>
      <c r="B74" s="3" t="n">
        <v>46004</v>
      </c>
      <c r="C74" t="inlineStr">
        <is>
          <t>12:00pm - 03:00pm</t>
        </is>
      </c>
      <c r="I74" t="inlineStr">
        <is>
          <t>O&amp;D 
97155</t>
        </is>
      </c>
      <c r="K74" t="inlineStr">
        <is>
          <t>Muse, Aaliya</t>
        </is>
      </c>
    </row>
    <row r="75">
      <c r="A75" t="inlineStr">
        <is>
          <t>Abdi, Mohamed</t>
        </is>
      </c>
      <c r="B75" s="3" t="n">
        <v>46004</v>
      </c>
      <c r="C75" t="inlineStr">
        <is>
          <t>01:00pm - 02:40pm</t>
        </is>
      </c>
      <c r="I75" t="inlineStr">
        <is>
          <t>O&amp;D 
97155</t>
        </is>
      </c>
      <c r="K75" t="inlineStr">
        <is>
          <t>Hawadle, Abdiaziz</t>
        </is>
      </c>
    </row>
    <row r="76">
      <c r="A76" t="inlineStr">
        <is>
          <t>Abdi, Ahmed</t>
        </is>
      </c>
      <c r="B76" s="3" t="n">
        <v>46004</v>
      </c>
      <c r="C76" t="inlineStr">
        <is>
          <t>01:00pm - 04:00pm</t>
        </is>
      </c>
      <c r="I76" t="inlineStr">
        <is>
          <t>O&amp;D 
97155</t>
        </is>
      </c>
      <c r="K76" t="inlineStr">
        <is>
          <t>Muse, Adna</t>
        </is>
      </c>
    </row>
    <row r="77">
      <c r="A77" t="inlineStr">
        <is>
          <t>Yusuf, Khadija</t>
        </is>
      </c>
      <c r="B77" s="3" t="n">
        <v>46004</v>
      </c>
      <c r="C77" t="inlineStr">
        <is>
          <t>02:00pm - 02:30pm</t>
        </is>
      </c>
      <c r="I77" t="inlineStr">
        <is>
          <t>1/1 
97153</t>
        </is>
      </c>
      <c r="K77" t="inlineStr">
        <is>
          <t>Ibrahim, Ahmed</t>
        </is>
      </c>
    </row>
    <row r="78">
      <c r="A78" t="inlineStr">
        <is>
          <t>Yusuf, Khadija</t>
        </is>
      </c>
      <c r="B78" s="3" t="n">
        <v>46004</v>
      </c>
      <c r="C78" t="inlineStr">
        <is>
          <t>02:30pm - 05:00pm</t>
        </is>
      </c>
      <c r="I78" t="inlineStr">
        <is>
          <t>1/1 
97153</t>
        </is>
      </c>
      <c r="K78" t="inlineStr">
        <is>
          <t>Barqab, Mushtaq</t>
        </is>
      </c>
    </row>
    <row r="79">
      <c r="A79" t="inlineStr">
        <is>
          <t>Abdi, Mohamed</t>
        </is>
      </c>
      <c r="B79" s="3" t="n">
        <v>46004</v>
      </c>
      <c r="C79" t="inlineStr">
        <is>
          <t>02:40pm - 06:10pm</t>
        </is>
      </c>
      <c r="I79" t="inlineStr">
        <is>
          <t>1/1 
97153</t>
        </is>
      </c>
      <c r="K79" t="inlineStr">
        <is>
          <t>Ibrahim, Ahmed</t>
        </is>
      </c>
    </row>
    <row r="80">
      <c r="A80" t="inlineStr">
        <is>
          <t>Abdi, Mohamed</t>
        </is>
      </c>
      <c r="B80" s="3" t="n">
        <v>46004</v>
      </c>
      <c r="C80" t="inlineStr">
        <is>
          <t>02:40pm - 04:00pm</t>
        </is>
      </c>
      <c r="I80" t="inlineStr">
        <is>
          <t>O&amp;D 
97155</t>
        </is>
      </c>
      <c r="K80" t="inlineStr">
        <is>
          <t>Hawadle, Abdiaziz</t>
        </is>
      </c>
    </row>
    <row r="81">
      <c r="A81" t="inlineStr">
        <is>
          <t>Abdi, Safia</t>
        </is>
      </c>
      <c r="B81" s="3" t="n">
        <v>46004</v>
      </c>
      <c r="C81" t="inlineStr">
        <is>
          <t>03:00pm - 06:00pm</t>
        </is>
      </c>
      <c r="I81" t="inlineStr">
        <is>
          <t>1/1 
97153</t>
        </is>
      </c>
      <c r="K81" t="inlineStr">
        <is>
          <t>Muse, Ayni</t>
        </is>
      </c>
    </row>
    <row r="82">
      <c r="A82" t="inlineStr">
        <is>
          <t>Jama, Khadija</t>
        </is>
      </c>
      <c r="B82" s="3" t="n">
        <v>46004</v>
      </c>
      <c r="C82" t="inlineStr">
        <is>
          <t>03:00pm - 06:00pm</t>
        </is>
      </c>
      <c r="I82" t="inlineStr">
        <is>
          <t>1/1 
97153</t>
        </is>
      </c>
      <c r="K82" t="inlineStr">
        <is>
          <t>Muse, Aaliya</t>
        </is>
      </c>
    </row>
    <row r="83">
      <c r="A83" t="inlineStr">
        <is>
          <t>Abdi, Safia</t>
        </is>
      </c>
      <c r="B83" s="3" t="n">
        <v>46004</v>
      </c>
      <c r="C83" t="inlineStr">
        <is>
          <t>03:00pm - 06:00pm</t>
        </is>
      </c>
      <c r="I83" t="inlineStr">
        <is>
          <t>O&amp;D 
97155</t>
        </is>
      </c>
      <c r="K83" t="inlineStr">
        <is>
          <t>Osman, Basra</t>
        </is>
      </c>
    </row>
    <row r="84">
      <c r="A84" t="inlineStr">
        <is>
          <t>Abdulkadir, Nadra</t>
        </is>
      </c>
      <c r="B84" s="3" t="n">
        <v>46006</v>
      </c>
      <c r="C84" t="inlineStr">
        <is>
          <t>11:00am - 06:30pm</t>
        </is>
      </c>
      <c r="I84" t="inlineStr">
        <is>
          <t>1/1 
97153</t>
        </is>
      </c>
      <c r="K84" t="inlineStr">
        <is>
          <t>Ali, Amira</t>
        </is>
      </c>
    </row>
    <row r="85">
      <c r="A85" t="inlineStr">
        <is>
          <t>Abdulkadir, Nadra</t>
        </is>
      </c>
      <c r="B85" s="3" t="n">
        <v>46006</v>
      </c>
      <c r="C85" t="inlineStr">
        <is>
          <t>12:00pm - 03:00pm</t>
        </is>
      </c>
      <c r="I85" t="inlineStr">
        <is>
          <t>O&amp;D 
97155</t>
        </is>
      </c>
      <c r="K85" t="inlineStr">
        <is>
          <t>mohamed, Madar</t>
        </is>
      </c>
    </row>
    <row r="86">
      <c r="A86" t="inlineStr">
        <is>
          <t>Mohamed, Sumaya</t>
        </is>
      </c>
      <c r="B86" s="3" t="n">
        <v>46006</v>
      </c>
      <c r="C86" t="inlineStr">
        <is>
          <t>12:00pm - 05:30pm</t>
        </is>
      </c>
      <c r="I86" t="inlineStr">
        <is>
          <t>1/1 
97153</t>
        </is>
      </c>
      <c r="K86" t="inlineStr">
        <is>
          <t>Hashi, Ridwan</t>
        </is>
      </c>
    </row>
    <row r="87">
      <c r="A87" t="inlineStr">
        <is>
          <t>Mohamed, Sumaya</t>
        </is>
      </c>
      <c r="B87" s="3" t="n">
        <v>46006</v>
      </c>
      <c r="C87" t="inlineStr">
        <is>
          <t>12:00pm - 03:00pm</t>
        </is>
      </c>
      <c r="I87" t="inlineStr">
        <is>
          <t>O&amp;D 
97155</t>
        </is>
      </c>
      <c r="K87" t="inlineStr">
        <is>
          <t>Muse, Adna</t>
        </is>
      </c>
    </row>
    <row r="88">
      <c r="A88" t="inlineStr">
        <is>
          <t>Yusuf, Khadija</t>
        </is>
      </c>
      <c r="B88" s="3" t="n">
        <v>46006</v>
      </c>
      <c r="C88" t="inlineStr">
        <is>
          <t>01:00pm - 06:00pm</t>
        </is>
      </c>
      <c r="I88" t="inlineStr">
        <is>
          <t>1/1 
97153</t>
        </is>
      </c>
      <c r="K88" t="inlineStr">
        <is>
          <t>Ali, Naima</t>
        </is>
      </c>
    </row>
    <row r="89">
      <c r="A89" t="inlineStr">
        <is>
          <t>Yusuf 2, Khadra</t>
        </is>
      </c>
      <c r="B89" s="3" t="n">
        <v>46006</v>
      </c>
      <c r="C89" t="inlineStr">
        <is>
          <t>01:00pm - 06:00pm</t>
        </is>
      </c>
      <c r="I89" t="inlineStr">
        <is>
          <t>1/1 
97153</t>
        </is>
      </c>
      <c r="K89" t="inlineStr">
        <is>
          <t>Noor, Kamilo</t>
        </is>
      </c>
    </row>
    <row r="90">
      <c r="A90" t="inlineStr">
        <is>
          <t>Abdullahi, Abdirahman</t>
        </is>
      </c>
      <c r="B90" s="3" t="n">
        <v>46006</v>
      </c>
      <c r="C90" t="inlineStr">
        <is>
          <t>01:00pm - 04:00pm</t>
        </is>
      </c>
      <c r="I90" t="inlineStr">
        <is>
          <t>1/1 
97153</t>
        </is>
      </c>
      <c r="K90" t="inlineStr">
        <is>
          <t>Ali, Nasteho</t>
        </is>
      </c>
    </row>
    <row r="91">
      <c r="A91" t="inlineStr">
        <is>
          <t>Yusuf, Khadija</t>
        </is>
      </c>
      <c r="B91" s="3" t="n">
        <v>46006</v>
      </c>
      <c r="C91" t="inlineStr">
        <is>
          <t>01:00pm - 04:00pm</t>
        </is>
      </c>
      <c r="I91" t="inlineStr">
        <is>
          <t>O&amp;D 
97155</t>
        </is>
      </c>
      <c r="K91" t="inlineStr">
        <is>
          <t>Hawadle, Abdiaziz</t>
        </is>
      </c>
    </row>
    <row r="92">
      <c r="A92" t="inlineStr">
        <is>
          <t>Abdullahi, Abdirahman</t>
        </is>
      </c>
      <c r="B92" s="3" t="n">
        <v>46006</v>
      </c>
      <c r="C92" t="inlineStr">
        <is>
          <t>01:00pm - 04:00pm</t>
        </is>
      </c>
      <c r="I92" t="inlineStr">
        <is>
          <t>O&amp;D 
97155</t>
        </is>
      </c>
      <c r="K92" t="inlineStr">
        <is>
          <t>Abdulle, Zamzam</t>
        </is>
      </c>
    </row>
    <row r="93">
      <c r="A93" t="inlineStr">
        <is>
          <t>Kadir, Hamdi</t>
        </is>
      </c>
      <c r="B93" s="3" t="n">
        <v>46006</v>
      </c>
      <c r="C93" t="inlineStr">
        <is>
          <t>02:00pm - 08:00pm</t>
        </is>
      </c>
      <c r="I93" t="inlineStr">
        <is>
          <t>1/1 
97153</t>
        </is>
      </c>
      <c r="K93" t="inlineStr">
        <is>
          <t>Osman, Basra</t>
        </is>
      </c>
    </row>
    <row r="94">
      <c r="A94" t="inlineStr">
        <is>
          <t>Abdi, Ahmed</t>
        </is>
      </c>
      <c r="B94" s="3" t="n">
        <v>46006</v>
      </c>
      <c r="C94" t="inlineStr">
        <is>
          <t>02:50pm - 08:00pm</t>
        </is>
      </c>
      <c r="I94" t="inlineStr">
        <is>
          <t>1/1 
97153</t>
        </is>
      </c>
      <c r="K94" t="inlineStr">
        <is>
          <t>Ibrahim, Ahmed</t>
        </is>
      </c>
    </row>
    <row r="95">
      <c r="A95" t="inlineStr">
        <is>
          <t>Abdi, Mohamed</t>
        </is>
      </c>
      <c r="B95" s="3" t="n">
        <v>46006</v>
      </c>
      <c r="C95" t="inlineStr">
        <is>
          <t>03:00pm - 08:00pm</t>
        </is>
      </c>
      <c r="I95" t="inlineStr">
        <is>
          <t>1/1 
97153</t>
        </is>
      </c>
      <c r="K95" t="inlineStr">
        <is>
          <t>Omar, Mohamed</t>
        </is>
      </c>
    </row>
    <row r="96">
      <c r="A96" t="inlineStr">
        <is>
          <t>Abdi, Ahmed</t>
        </is>
      </c>
      <c r="B96" s="3" t="n">
        <v>46006</v>
      </c>
      <c r="C96" t="inlineStr">
        <is>
          <t>03:00pm - 06:00pm</t>
        </is>
      </c>
      <c r="I96" t="inlineStr">
        <is>
          <t>O&amp;D 
97155</t>
        </is>
      </c>
      <c r="K96" t="inlineStr">
        <is>
          <t>mohamed, Madar</t>
        </is>
      </c>
    </row>
    <row r="97">
      <c r="A97" t="inlineStr">
        <is>
          <t>Abdi, Safia</t>
        </is>
      </c>
      <c r="B97" s="3" t="n">
        <v>46006</v>
      </c>
      <c r="C97" t="inlineStr">
        <is>
          <t>03:15pm - 08:00pm</t>
        </is>
      </c>
      <c r="I97" t="inlineStr">
        <is>
          <t>1/1 
97153</t>
        </is>
      </c>
      <c r="K97" t="inlineStr">
        <is>
          <t>Muse, Nawaal</t>
        </is>
      </c>
    </row>
    <row r="98">
      <c r="A98" t="inlineStr">
        <is>
          <t>Abdi, Salman</t>
        </is>
      </c>
      <c r="B98" s="3" t="n">
        <v>46006</v>
      </c>
      <c r="C98" t="inlineStr">
        <is>
          <t>03:15pm - 08:00pm</t>
        </is>
      </c>
      <c r="I98" t="inlineStr">
        <is>
          <t>1/1 
97153</t>
        </is>
      </c>
      <c r="K98" t="inlineStr">
        <is>
          <t>Mohamed, Mohamed</t>
        </is>
      </c>
    </row>
    <row r="99">
      <c r="A99" t="inlineStr">
        <is>
          <t>Ali, Saami</t>
        </is>
      </c>
      <c r="B99" s="3" t="n">
        <v>46006</v>
      </c>
      <c r="C99" t="inlineStr">
        <is>
          <t>03:30pm - 08:00pm</t>
        </is>
      </c>
      <c r="I99" t="inlineStr">
        <is>
          <t>1/1 
97153</t>
        </is>
      </c>
      <c r="K99" t="inlineStr">
        <is>
          <t>Muse, Aaliya</t>
        </is>
      </c>
    </row>
    <row r="100">
      <c r="A100" t="inlineStr">
        <is>
          <t>Jama, Khadija</t>
        </is>
      </c>
      <c r="B100" s="3" t="n">
        <v>46006</v>
      </c>
      <c r="C100" t="inlineStr">
        <is>
          <t>03:45pm - 06:00pm</t>
        </is>
      </c>
      <c r="I100" t="inlineStr">
        <is>
          <t>1/1 
97153</t>
        </is>
      </c>
      <c r="K100" t="inlineStr">
        <is>
          <t>Barqab, Mushtaq</t>
        </is>
      </c>
    </row>
    <row r="101">
      <c r="A101" t="inlineStr">
        <is>
          <t>Abdullahi, Abdirahman</t>
        </is>
      </c>
      <c r="B101" s="3" t="n">
        <v>46006</v>
      </c>
      <c r="C101" t="inlineStr">
        <is>
          <t>04:00pm - 06:00pm</t>
        </is>
      </c>
      <c r="I101" t="inlineStr">
        <is>
          <t>1/1 
97153</t>
        </is>
      </c>
      <c r="K101" t="inlineStr">
        <is>
          <t>Hawadle, Abdiaziz</t>
        </is>
      </c>
    </row>
    <row r="102">
      <c r="A102" t="inlineStr">
        <is>
          <t>Abdi, Samira</t>
        </is>
      </c>
      <c r="B102" s="3" t="n">
        <v>46006</v>
      </c>
      <c r="C102" t="inlineStr">
        <is>
          <t>04:00pm - 08:00pm</t>
        </is>
      </c>
      <c r="I102" t="inlineStr">
        <is>
          <t>1/1 
97153</t>
        </is>
      </c>
      <c r="K102" t="inlineStr">
        <is>
          <t>Ran, Sameya</t>
        </is>
      </c>
    </row>
    <row r="103">
      <c r="A103" t="inlineStr">
        <is>
          <t>Sulub, Sharmake</t>
        </is>
      </c>
      <c r="B103" s="3" t="n">
        <v>46006</v>
      </c>
      <c r="C103" t="inlineStr">
        <is>
          <t>04:00pm - 08:00pm</t>
        </is>
      </c>
      <c r="I103" t="inlineStr">
        <is>
          <t>1/1 
97153</t>
        </is>
      </c>
      <c r="K103" t="inlineStr">
        <is>
          <t>Ali, Nasteho</t>
        </is>
      </c>
    </row>
    <row r="104">
      <c r="A104" t="inlineStr">
        <is>
          <t>Abdi, Samira</t>
        </is>
      </c>
      <c r="B104" s="3" t="n">
        <v>46006</v>
      </c>
      <c r="C104" t="inlineStr">
        <is>
          <t>04:00pm - 07:00pm</t>
        </is>
      </c>
      <c r="I104" t="inlineStr">
        <is>
          <t>O&amp;D 
97155</t>
        </is>
      </c>
      <c r="K104" t="inlineStr">
        <is>
          <t>Muse, Ayni</t>
        </is>
      </c>
    </row>
    <row r="105">
      <c r="A105" t="inlineStr">
        <is>
          <t>Abdi, Safia</t>
        </is>
      </c>
      <c r="B105" s="3" t="n">
        <v>46006</v>
      </c>
      <c r="C105" t="inlineStr">
        <is>
          <t>04:00pm - 07:00pm</t>
        </is>
      </c>
      <c r="I105" t="inlineStr">
        <is>
          <t>O&amp;D 
97155</t>
        </is>
      </c>
      <c r="K105" t="inlineStr">
        <is>
          <t>Muse, Adna</t>
        </is>
      </c>
    </row>
    <row r="106">
      <c r="A106" t="inlineStr">
        <is>
          <t>Sulub, Sharmake</t>
        </is>
      </c>
      <c r="B106" s="3" t="n">
        <v>46006</v>
      </c>
      <c r="C106" t="inlineStr">
        <is>
          <t>04:00pm - 07:00pm</t>
        </is>
      </c>
      <c r="I106" t="inlineStr">
        <is>
          <t>O&amp;D 
97155</t>
        </is>
      </c>
      <c r="K106" t="inlineStr">
        <is>
          <t>Abdulle, Zamzam</t>
        </is>
      </c>
    </row>
    <row r="107">
      <c r="A107" t="inlineStr">
        <is>
          <t>Ali, Saami</t>
        </is>
      </c>
      <c r="B107" s="3" t="n">
        <v>46006</v>
      </c>
      <c r="C107" t="inlineStr">
        <is>
          <t>06:00pm - 07:00pm</t>
        </is>
      </c>
      <c r="I107" t="inlineStr">
        <is>
          <t>O&amp;D 
97155</t>
        </is>
      </c>
      <c r="K107" t="inlineStr">
        <is>
          <t>Barqab, Mushtaq</t>
        </is>
      </c>
    </row>
    <row r="108">
      <c r="A108" t="inlineStr">
        <is>
          <t>Abdi, Mohamed</t>
        </is>
      </c>
      <c r="B108" s="3" t="n">
        <v>46006</v>
      </c>
      <c r="C108" t="inlineStr">
        <is>
          <t>06:00pm - 08:00pm</t>
        </is>
      </c>
      <c r="I108" t="inlineStr">
        <is>
          <t>O&amp;D 
97155</t>
        </is>
      </c>
      <c r="K108" t="inlineStr">
        <is>
          <t>Noor, Kamilo</t>
        </is>
      </c>
    </row>
    <row r="109">
      <c r="A109" t="inlineStr">
        <is>
          <t>Abdi, Salman</t>
        </is>
      </c>
      <c r="B109" s="3" t="n">
        <v>46006</v>
      </c>
      <c r="C109" t="inlineStr">
        <is>
          <t>07:00pm - 08:00pm</t>
        </is>
      </c>
      <c r="I109" t="inlineStr">
        <is>
          <t>O&amp;D 
97155</t>
        </is>
      </c>
      <c r="K109" t="inlineStr">
        <is>
          <t>Muse, Ayni</t>
        </is>
      </c>
    </row>
    <row r="110">
      <c r="A110" t="inlineStr">
        <is>
          <t>Mohamed, Sumaya</t>
        </is>
      </c>
      <c r="B110" s="3" t="n">
        <v>46007</v>
      </c>
      <c r="C110" t="inlineStr">
        <is>
          <t>12:00pm - 07:00pm</t>
        </is>
      </c>
      <c r="I110" t="inlineStr">
        <is>
          <t>1/1 
97153</t>
        </is>
      </c>
      <c r="K110" t="inlineStr">
        <is>
          <t>Ali, Amira</t>
        </is>
      </c>
    </row>
    <row r="111">
      <c r="A111" t="inlineStr">
        <is>
          <t>Mohamed, Sumaya</t>
        </is>
      </c>
      <c r="B111" s="3" t="n">
        <v>46007</v>
      </c>
      <c r="C111" t="inlineStr">
        <is>
          <t>12:00pm - 03:00pm</t>
        </is>
      </c>
      <c r="I111" t="inlineStr">
        <is>
          <t>O&amp;D 
97155</t>
        </is>
      </c>
      <c r="K111" t="inlineStr">
        <is>
          <t>Muse, Adna</t>
        </is>
      </c>
    </row>
    <row r="112">
      <c r="A112" t="inlineStr">
        <is>
          <t>Abdullahi, Abdirahman</t>
        </is>
      </c>
      <c r="B112" s="3" t="n">
        <v>46007</v>
      </c>
      <c r="C112" t="inlineStr">
        <is>
          <t>01:00pm - 05:00pm</t>
        </is>
      </c>
      <c r="I112" t="inlineStr">
        <is>
          <t>1/1 
97153</t>
        </is>
      </c>
      <c r="K112" t="inlineStr">
        <is>
          <t>Mohamed, Mohamed</t>
        </is>
      </c>
    </row>
    <row r="113">
      <c r="A113" t="inlineStr">
        <is>
          <t>Abdullahi, Abdirahman</t>
        </is>
      </c>
      <c r="B113" s="3" t="n">
        <v>46007</v>
      </c>
      <c r="C113" t="inlineStr">
        <is>
          <t>01:00pm - 04:00pm</t>
        </is>
      </c>
      <c r="I113" t="inlineStr">
        <is>
          <t>O&amp;D 
97155</t>
        </is>
      </c>
      <c r="K113" t="inlineStr">
        <is>
          <t>Hawadle, Abdiaziz</t>
        </is>
      </c>
    </row>
    <row r="114">
      <c r="A114" t="inlineStr">
        <is>
          <t>Yusuf, Khadija</t>
        </is>
      </c>
      <c r="B114" s="3" t="n">
        <v>46007</v>
      </c>
      <c r="C114" t="inlineStr">
        <is>
          <t>01:00pm - 06:00pm</t>
        </is>
      </c>
      <c r="I114" t="inlineStr">
        <is>
          <t>1/1 
97153</t>
        </is>
      </c>
      <c r="K114" t="inlineStr">
        <is>
          <t>Hashi, Ridwan</t>
        </is>
      </c>
    </row>
    <row r="115">
      <c r="A115" t="inlineStr">
        <is>
          <t>Yusuf, Khadija</t>
        </is>
      </c>
      <c r="B115" s="3" t="n">
        <v>46007</v>
      </c>
      <c r="C115" t="inlineStr">
        <is>
          <t>01:00pm - 03:00pm</t>
        </is>
      </c>
      <c r="I115" t="inlineStr">
        <is>
          <t>O&amp;D 
97155</t>
        </is>
      </c>
      <c r="K115" t="inlineStr">
        <is>
          <t>Noor, Kamilo</t>
        </is>
      </c>
    </row>
    <row r="116">
      <c r="A116" t="inlineStr">
        <is>
          <t>Yusuf 2, Khadra</t>
        </is>
      </c>
      <c r="B116" s="3" t="n">
        <v>46007</v>
      </c>
      <c r="C116" t="inlineStr">
        <is>
          <t>01:00pm - 06:00pm</t>
        </is>
      </c>
      <c r="I116" t="inlineStr">
        <is>
          <t>1/1 
97153</t>
        </is>
      </c>
      <c r="K116" t="inlineStr">
        <is>
          <t>Ali, Naima</t>
        </is>
      </c>
    </row>
    <row r="117">
      <c r="A117" t="inlineStr">
        <is>
          <t>Yusuf 2, Khadra</t>
        </is>
      </c>
      <c r="B117" s="3" t="n">
        <v>46007</v>
      </c>
      <c r="C117" t="inlineStr">
        <is>
          <t>01:00pm - 04:00pm</t>
        </is>
      </c>
      <c r="I117" t="inlineStr">
        <is>
          <t>O&amp;D 
97155</t>
        </is>
      </c>
      <c r="K117" t="inlineStr">
        <is>
          <t>Muse, Aaliya</t>
        </is>
      </c>
    </row>
    <row r="118">
      <c r="A118" t="inlineStr">
        <is>
          <t>Abdulkadir, Nadra</t>
        </is>
      </c>
      <c r="B118" s="3" t="n">
        <v>46007</v>
      </c>
      <c r="C118" t="inlineStr">
        <is>
          <t>01:30pm - 04:00pm</t>
        </is>
      </c>
      <c r="I118" t="inlineStr">
        <is>
          <t>1/1 
97153</t>
        </is>
      </c>
      <c r="K118" t="inlineStr">
        <is>
          <t>Ali, Nasteho</t>
        </is>
      </c>
    </row>
    <row r="119">
      <c r="A119" t="inlineStr">
        <is>
          <t>Abdulkadir, Nadra</t>
        </is>
      </c>
      <c r="B119" s="3" t="n">
        <v>46007</v>
      </c>
      <c r="C119" t="inlineStr">
        <is>
          <t>01:30pm - 04:00pm</t>
        </is>
      </c>
      <c r="I119" t="inlineStr">
        <is>
          <t>O&amp;D 
97155</t>
        </is>
      </c>
      <c r="K119" t="inlineStr">
        <is>
          <t>mohamed, Madar</t>
        </is>
      </c>
    </row>
    <row r="120">
      <c r="A120" t="inlineStr">
        <is>
          <t>Kadir, Hamdi</t>
        </is>
      </c>
      <c r="B120" s="3" t="n">
        <v>46007</v>
      </c>
      <c r="C120" t="inlineStr">
        <is>
          <t>02:00pm - 08:00pm</t>
        </is>
      </c>
      <c r="I120" t="inlineStr">
        <is>
          <t>1/1 
97153</t>
        </is>
      </c>
      <c r="K120" t="inlineStr">
        <is>
          <t>Ran, Sameya</t>
        </is>
      </c>
    </row>
    <row r="121">
      <c r="A121" t="inlineStr">
        <is>
          <t>Abdi, Mohamed</t>
        </is>
      </c>
      <c r="B121" s="3" t="n">
        <v>46007</v>
      </c>
      <c r="C121" t="inlineStr">
        <is>
          <t>02:15pm - 08:00pm</t>
        </is>
      </c>
      <c r="I121" t="inlineStr">
        <is>
          <t>1/1 
97153</t>
        </is>
      </c>
      <c r="K121" t="inlineStr">
        <is>
          <t>Ibrahim, Ahmed</t>
        </is>
      </c>
    </row>
    <row r="122">
      <c r="A122" t="inlineStr">
        <is>
          <t>Abdi, Ahmed</t>
        </is>
      </c>
      <c r="B122" s="3" t="n">
        <v>46007</v>
      </c>
      <c r="C122" t="inlineStr">
        <is>
          <t>02:15pm - 08:00pm</t>
        </is>
      </c>
      <c r="I122" t="inlineStr">
        <is>
          <t>1/1 
97153</t>
        </is>
      </c>
      <c r="K122" t="inlineStr">
        <is>
          <t>Mohamed, Samsam</t>
        </is>
      </c>
    </row>
    <row r="123">
      <c r="A123" t="inlineStr">
        <is>
          <t>Kadir, Hamdi</t>
        </is>
      </c>
      <c r="B123" s="3" t="n">
        <v>46007</v>
      </c>
      <c r="C123" t="inlineStr">
        <is>
          <t>03:00pm - 06:00pm</t>
        </is>
      </c>
      <c r="I123" t="inlineStr">
        <is>
          <t>O&amp;D 
97155</t>
        </is>
      </c>
      <c r="K123" t="inlineStr">
        <is>
          <t>Muse, Adna</t>
        </is>
      </c>
    </row>
    <row r="124">
      <c r="A124" t="inlineStr">
        <is>
          <t>Abdi, Safia</t>
        </is>
      </c>
      <c r="B124" s="3" t="n">
        <v>46007</v>
      </c>
      <c r="C124" t="inlineStr">
        <is>
          <t>03:00pm - 04:00pm</t>
        </is>
      </c>
      <c r="I124" t="inlineStr">
        <is>
          <t>1/1 
97153</t>
        </is>
      </c>
      <c r="K124" t="inlineStr">
        <is>
          <t>Noor, Kamilo</t>
        </is>
      </c>
    </row>
    <row r="125">
      <c r="A125" t="inlineStr">
        <is>
          <t>Abdi, Salman</t>
        </is>
      </c>
      <c r="B125" s="3" t="n">
        <v>46007</v>
      </c>
      <c r="C125" t="inlineStr">
        <is>
          <t>03:15pm - 08:00pm</t>
        </is>
      </c>
      <c r="I125" t="inlineStr">
        <is>
          <t>1/1 
97153</t>
        </is>
      </c>
      <c r="K125" t="inlineStr">
        <is>
          <t>Omar, Mohamed</t>
        </is>
      </c>
    </row>
    <row r="126">
      <c r="A126" t="inlineStr">
        <is>
          <t>Ali, Saami</t>
        </is>
      </c>
      <c r="B126" s="3" t="n">
        <v>46007</v>
      </c>
      <c r="C126" t="inlineStr">
        <is>
          <t>03:30pm - 08:00pm</t>
        </is>
      </c>
      <c r="I126" t="inlineStr">
        <is>
          <t>1/1 
97153</t>
        </is>
      </c>
      <c r="K126" t="inlineStr">
        <is>
          <t>Muse, Aaliya</t>
        </is>
      </c>
    </row>
    <row r="127">
      <c r="A127" t="inlineStr">
        <is>
          <t>Abdi, Safia</t>
        </is>
      </c>
      <c r="B127" s="3" t="n">
        <v>46007</v>
      </c>
      <c r="C127" t="inlineStr">
        <is>
          <t>04:00pm - 08:00pm</t>
        </is>
      </c>
      <c r="I127" t="inlineStr">
        <is>
          <t>1/1 
97153</t>
        </is>
      </c>
      <c r="K127" t="inlineStr">
        <is>
          <t>Barqab, Mushtaq</t>
        </is>
      </c>
    </row>
    <row r="128">
      <c r="A128" t="inlineStr">
        <is>
          <t>Abdi, Samira</t>
        </is>
      </c>
      <c r="B128" s="3" t="n">
        <v>46007</v>
      </c>
      <c r="C128" t="inlineStr">
        <is>
          <t>04:00pm - 08:00pm</t>
        </is>
      </c>
      <c r="I128" t="inlineStr">
        <is>
          <t>1/1 
97153</t>
        </is>
      </c>
      <c r="K128" t="inlineStr">
        <is>
          <t>Muse, Nawaal</t>
        </is>
      </c>
    </row>
    <row r="129">
      <c r="A129" t="inlineStr">
        <is>
          <t>Sulub, Sharmake</t>
        </is>
      </c>
      <c r="B129" s="3" t="n">
        <v>46007</v>
      </c>
      <c r="C129" t="inlineStr">
        <is>
          <t>04:00pm - 08:00pm</t>
        </is>
      </c>
      <c r="I129" t="inlineStr">
        <is>
          <t>1/1 
97153</t>
        </is>
      </c>
      <c r="K129" t="inlineStr">
        <is>
          <t>Ali, Nasteho</t>
        </is>
      </c>
    </row>
    <row r="130">
      <c r="A130" t="inlineStr">
        <is>
          <t>Abdi, Mohamed</t>
        </is>
      </c>
      <c r="B130" s="3" t="n">
        <v>46007</v>
      </c>
      <c r="C130" t="inlineStr">
        <is>
          <t>04:00pm - 07:00pm</t>
        </is>
      </c>
      <c r="I130" t="inlineStr">
        <is>
          <t>O&amp;D 
97155</t>
        </is>
      </c>
      <c r="K130" t="inlineStr">
        <is>
          <t>Hawadle, Abdiaziz</t>
        </is>
      </c>
    </row>
    <row r="131">
      <c r="A131" t="inlineStr">
        <is>
          <t>Abdi, Salman</t>
        </is>
      </c>
      <c r="B131" s="3" t="n">
        <v>46007</v>
      </c>
      <c r="C131" t="inlineStr">
        <is>
          <t>04:00pm - 06:00pm</t>
        </is>
      </c>
      <c r="I131" t="inlineStr">
        <is>
          <t>O&amp;D 
97155</t>
        </is>
      </c>
      <c r="K131" t="inlineStr">
        <is>
          <t>mohamed, Madar</t>
        </is>
      </c>
    </row>
    <row r="132">
      <c r="A132" t="inlineStr">
        <is>
          <t>Abdulkadir, Nadra</t>
        </is>
      </c>
      <c r="B132" s="3" t="n">
        <v>46007</v>
      </c>
      <c r="C132" t="inlineStr">
        <is>
          <t>04:00pm - 06:00pm</t>
        </is>
      </c>
      <c r="I132" t="inlineStr">
        <is>
          <t>1/1 
97153</t>
        </is>
      </c>
      <c r="K132" t="inlineStr">
        <is>
          <t>Muse, Ayni</t>
        </is>
      </c>
    </row>
    <row r="133">
      <c r="A133" t="inlineStr">
        <is>
          <t>Sulub, Sharmake</t>
        </is>
      </c>
      <c r="B133" s="3" t="n">
        <v>46007</v>
      </c>
      <c r="C133" t="inlineStr">
        <is>
          <t>04:00pm - 07:00pm</t>
        </is>
      </c>
      <c r="I133" t="inlineStr">
        <is>
          <t>O&amp;D 
97155</t>
        </is>
      </c>
      <c r="K133" t="inlineStr">
        <is>
          <t>Abdulle, Zamzam</t>
        </is>
      </c>
    </row>
    <row r="134">
      <c r="A134" t="inlineStr">
        <is>
          <t>Abdi, Safia</t>
        </is>
      </c>
      <c r="B134" s="3" t="n">
        <v>46007</v>
      </c>
      <c r="C134" t="inlineStr">
        <is>
          <t>04:00pm - 07:00pm</t>
        </is>
      </c>
      <c r="I134" t="inlineStr">
        <is>
          <t>O&amp;D 
97155</t>
        </is>
      </c>
      <c r="K134" t="inlineStr">
        <is>
          <t>Noor, Kamilo</t>
        </is>
      </c>
    </row>
    <row r="135">
      <c r="A135" t="inlineStr">
        <is>
          <t>Abdi, Ahmed</t>
        </is>
      </c>
      <c r="B135" s="3" t="n">
        <v>46007</v>
      </c>
      <c r="C135" t="inlineStr">
        <is>
          <t>06:00pm - 08:00pm</t>
        </is>
      </c>
      <c r="I135" t="inlineStr">
        <is>
          <t>O&amp;D 
97155</t>
        </is>
      </c>
      <c r="K135" t="inlineStr">
        <is>
          <t>Muse, Adna</t>
        </is>
      </c>
    </row>
    <row r="136">
      <c r="A136" t="inlineStr">
        <is>
          <t>Abdi, Samira</t>
        </is>
      </c>
      <c r="B136" s="3" t="n">
        <v>46007</v>
      </c>
      <c r="C136" t="inlineStr">
        <is>
          <t>06:00pm - 08:00pm</t>
        </is>
      </c>
      <c r="I136" t="inlineStr">
        <is>
          <t>O&amp;D 
97155</t>
        </is>
      </c>
      <c r="K136" t="inlineStr">
        <is>
          <t>Muse, Ayni</t>
        </is>
      </c>
    </row>
    <row r="137">
      <c r="A137" t="inlineStr">
        <is>
          <t>Abdi, Salman</t>
        </is>
      </c>
      <c r="B137" s="3" t="n">
        <v>46007</v>
      </c>
      <c r="C137" t="inlineStr">
        <is>
          <t>07:00pm - 08:00pm</t>
        </is>
      </c>
      <c r="I137" t="inlineStr">
        <is>
          <t>O&amp;D 
97155</t>
        </is>
      </c>
      <c r="K137" t="inlineStr">
        <is>
          <t>Noor, Kamilo</t>
        </is>
      </c>
    </row>
    <row r="138">
      <c r="A138" t="inlineStr">
        <is>
          <t>Mohamed, Sumaya</t>
        </is>
      </c>
      <c r="B138" s="3" t="n">
        <v>46008</v>
      </c>
      <c r="C138" t="inlineStr">
        <is>
          <t>12:00pm - 05:00pm</t>
        </is>
      </c>
      <c r="I138" t="inlineStr">
        <is>
          <t>1/1 
97153</t>
        </is>
      </c>
      <c r="K138" t="inlineStr">
        <is>
          <t>Muse, Adna</t>
        </is>
      </c>
    </row>
    <row r="139">
      <c r="A139" t="inlineStr">
        <is>
          <t>Mohamed, Sumaya</t>
        </is>
      </c>
      <c r="B139" s="3" t="n">
        <v>46008</v>
      </c>
      <c r="C139" t="inlineStr">
        <is>
          <t>12:30pm - 03:30pm</t>
        </is>
      </c>
      <c r="I139" t="inlineStr">
        <is>
          <t>O&amp;D 
97155</t>
        </is>
      </c>
      <c r="K139" t="inlineStr">
        <is>
          <t>Muse, Aaliya</t>
        </is>
      </c>
    </row>
    <row r="140">
      <c r="A140" t="inlineStr">
        <is>
          <t>Yusuf, Khadija</t>
        </is>
      </c>
      <c r="B140" s="3" t="n">
        <v>46008</v>
      </c>
      <c r="C140" t="inlineStr">
        <is>
          <t>01:00pm - 06:00pm</t>
        </is>
      </c>
      <c r="I140" t="inlineStr">
        <is>
          <t>1/1 
97153</t>
        </is>
      </c>
      <c r="K140" t="inlineStr">
        <is>
          <t>Ran, Sameya</t>
        </is>
      </c>
    </row>
    <row r="141">
      <c r="A141" t="inlineStr">
        <is>
          <t>Yusuf 2, Khadra</t>
        </is>
      </c>
      <c r="B141" s="3" t="n">
        <v>46008</v>
      </c>
      <c r="C141" t="inlineStr">
        <is>
          <t>01:00pm - 06:00pm</t>
        </is>
      </c>
      <c r="I141" t="inlineStr">
        <is>
          <t>1/1 
97153</t>
        </is>
      </c>
      <c r="K141" t="inlineStr">
        <is>
          <t>Hashi, Ridwan</t>
        </is>
      </c>
    </row>
    <row r="142">
      <c r="A142" t="inlineStr">
        <is>
          <t>Abdullahi, Abdirahman</t>
        </is>
      </c>
      <c r="B142" s="3" t="n">
        <v>46008</v>
      </c>
      <c r="C142" t="inlineStr">
        <is>
          <t>01:00pm - 04:00pm</t>
        </is>
      </c>
      <c r="I142" t="inlineStr">
        <is>
          <t>1/1 
97153</t>
        </is>
      </c>
      <c r="K142" t="inlineStr">
        <is>
          <t>Ali, Nasteho</t>
        </is>
      </c>
    </row>
    <row r="143">
      <c r="A143" t="inlineStr">
        <is>
          <t>Yusuf, Khadija</t>
        </is>
      </c>
      <c r="B143" s="3" t="n">
        <v>46008</v>
      </c>
      <c r="C143" t="inlineStr">
        <is>
          <t>01:00pm - 04:00pm</t>
        </is>
      </c>
      <c r="I143" t="inlineStr">
        <is>
          <t>O&amp;D 
97155</t>
        </is>
      </c>
      <c r="K143" t="inlineStr">
        <is>
          <t>Noor, Kamilo</t>
        </is>
      </c>
    </row>
    <row r="144">
      <c r="A144" t="inlineStr">
        <is>
          <t>Yusuf 2, Khadra</t>
        </is>
      </c>
      <c r="B144" s="3" t="n">
        <v>46008</v>
      </c>
      <c r="C144" t="inlineStr">
        <is>
          <t>01:00pm - 04:00pm</t>
        </is>
      </c>
      <c r="I144" t="inlineStr">
        <is>
          <t>O&amp;D 
97155</t>
        </is>
      </c>
      <c r="K144" t="inlineStr">
        <is>
          <t>Muse, Ayni</t>
        </is>
      </c>
    </row>
    <row r="145">
      <c r="A145" t="inlineStr">
        <is>
          <t>Abdullahi, Abdirahman</t>
        </is>
      </c>
      <c r="B145" s="3" t="n">
        <v>46008</v>
      </c>
      <c r="C145" t="inlineStr">
        <is>
          <t>01:00pm - 04:00pm</t>
        </is>
      </c>
      <c r="I145" t="inlineStr">
        <is>
          <t>O&amp;D 
97155</t>
        </is>
      </c>
      <c r="K145" t="inlineStr">
        <is>
          <t>Hawadle, Abdiaziz</t>
        </is>
      </c>
    </row>
    <row r="146">
      <c r="A146" t="inlineStr">
        <is>
          <t>Abdulkadir, Nadra</t>
        </is>
      </c>
      <c r="B146" s="3" t="n">
        <v>46008</v>
      </c>
      <c r="C146" t="inlineStr">
        <is>
          <t>01:30pm - 06:30pm</t>
        </is>
      </c>
      <c r="I146" t="inlineStr">
        <is>
          <t>1/1 
97153</t>
        </is>
      </c>
      <c r="K146" t="inlineStr">
        <is>
          <t>Ali, Amira</t>
        </is>
      </c>
    </row>
    <row r="147">
      <c r="A147" t="inlineStr">
        <is>
          <t>Abdulkadir, Nadra</t>
        </is>
      </c>
      <c r="B147" s="3" t="n">
        <v>46008</v>
      </c>
      <c r="C147" t="inlineStr">
        <is>
          <t>01:30pm - 04:30pm</t>
        </is>
      </c>
      <c r="I147" t="inlineStr">
        <is>
          <t>O&amp;D 
97155</t>
        </is>
      </c>
      <c r="K147" t="inlineStr">
        <is>
          <t>mohamed, Madar</t>
        </is>
      </c>
    </row>
    <row r="148">
      <c r="A148" t="inlineStr">
        <is>
          <t>Kadir, Hamdi</t>
        </is>
      </c>
      <c r="B148" s="3" t="n">
        <v>46008</v>
      </c>
      <c r="C148" t="inlineStr">
        <is>
          <t>02:00pm - 05:00pm</t>
        </is>
      </c>
      <c r="I148" t="inlineStr">
        <is>
          <t>1/1 
97153</t>
        </is>
      </c>
      <c r="K148" t="inlineStr">
        <is>
          <t>Muse, Ayni</t>
        </is>
      </c>
    </row>
    <row r="149">
      <c r="A149" t="inlineStr">
        <is>
          <t>Kadir, Hamdi</t>
        </is>
      </c>
      <c r="B149" s="3" t="n">
        <v>46008</v>
      </c>
      <c r="C149" t="inlineStr">
        <is>
          <t>02:00pm - 05:00pm</t>
        </is>
      </c>
      <c r="I149" t="inlineStr">
        <is>
          <t>O&amp;D 
97155</t>
        </is>
      </c>
      <c r="K149" t="inlineStr">
        <is>
          <t>Osman, Basra</t>
        </is>
      </c>
    </row>
    <row r="150">
      <c r="A150" t="inlineStr">
        <is>
          <t>Abdi, Mohamed</t>
        </is>
      </c>
      <c r="B150" s="3" t="n">
        <v>46008</v>
      </c>
      <c r="C150" t="inlineStr">
        <is>
          <t>03:00pm - 08:00pm</t>
        </is>
      </c>
      <c r="I150" t="inlineStr">
        <is>
          <t>1/1 
97153</t>
        </is>
      </c>
      <c r="K150" t="inlineStr">
        <is>
          <t>Omar, Mohamed</t>
        </is>
      </c>
    </row>
    <row r="151">
      <c r="A151" t="inlineStr">
        <is>
          <t>Abdi, Ahmed</t>
        </is>
      </c>
      <c r="B151" s="3" t="n">
        <v>46008</v>
      </c>
      <c r="C151" t="inlineStr">
        <is>
          <t>03:00pm - 08:00pm</t>
        </is>
      </c>
      <c r="I151" t="inlineStr">
        <is>
          <t>1/1 
97153</t>
        </is>
      </c>
      <c r="K151" t="inlineStr">
        <is>
          <t>Ibrahim, Ahmed</t>
        </is>
      </c>
    </row>
    <row r="152">
      <c r="A152" t="inlineStr">
        <is>
          <t>Abdi, Safia</t>
        </is>
      </c>
      <c r="B152" s="3" t="n">
        <v>46008</v>
      </c>
      <c r="C152" t="inlineStr">
        <is>
          <t>03:15pm - 08:00pm</t>
        </is>
      </c>
      <c r="I152" t="inlineStr">
        <is>
          <t>1/1 
97153</t>
        </is>
      </c>
      <c r="K152" t="inlineStr">
        <is>
          <t>Ali, Naima</t>
        </is>
      </c>
    </row>
    <row r="153">
      <c r="A153" t="inlineStr">
        <is>
          <t>Abdi, Salman</t>
        </is>
      </c>
      <c r="B153" s="3" t="n">
        <v>46008</v>
      </c>
      <c r="C153" t="inlineStr">
        <is>
          <t>03:15pm - 08:00pm</t>
        </is>
      </c>
      <c r="I153" t="inlineStr">
        <is>
          <t>1/1 
97153</t>
        </is>
      </c>
      <c r="K153" t="inlineStr">
        <is>
          <t>Mohamed, Mohamed</t>
        </is>
      </c>
    </row>
    <row r="154">
      <c r="A154" t="inlineStr">
        <is>
          <t>Ali, Saami</t>
        </is>
      </c>
      <c r="B154" s="3" t="n">
        <v>46008</v>
      </c>
      <c r="C154" t="inlineStr">
        <is>
          <t>03:30pm - 08:00pm</t>
        </is>
      </c>
      <c r="I154" t="inlineStr">
        <is>
          <t>1/1 
97153</t>
        </is>
      </c>
      <c r="K154" t="inlineStr">
        <is>
          <t>Muse, Aaliya</t>
        </is>
      </c>
    </row>
    <row r="155">
      <c r="A155" t="inlineStr">
        <is>
          <t>Sulub, Sharmake</t>
        </is>
      </c>
      <c r="B155" s="3" t="n">
        <v>46008</v>
      </c>
      <c r="C155" t="inlineStr">
        <is>
          <t>04:00pm - 08:00pm</t>
        </is>
      </c>
      <c r="I155" t="inlineStr">
        <is>
          <t>1/1 
97153</t>
        </is>
      </c>
      <c r="K155" t="inlineStr">
        <is>
          <t>Ali, Nasteho</t>
        </is>
      </c>
    </row>
    <row r="156">
      <c r="A156" t="inlineStr">
        <is>
          <t>Abdullahi, Abdirahman</t>
        </is>
      </c>
      <c r="B156" s="3" t="n">
        <v>46008</v>
      </c>
      <c r="C156" t="inlineStr">
        <is>
          <t>04:00pm - 06:00pm</t>
        </is>
      </c>
      <c r="I156" t="inlineStr">
        <is>
          <t>1/1 
97153</t>
        </is>
      </c>
      <c r="K156" t="inlineStr">
        <is>
          <t>Hawadle, Abdiaziz</t>
        </is>
      </c>
    </row>
    <row r="157">
      <c r="A157" t="inlineStr">
        <is>
          <t>Abdi, Safia</t>
        </is>
      </c>
      <c r="B157" s="3" t="n">
        <v>46008</v>
      </c>
      <c r="C157" t="inlineStr">
        <is>
          <t>04:00pm - 07:00pm</t>
        </is>
      </c>
      <c r="I157" t="inlineStr">
        <is>
          <t>O&amp;D 
97155</t>
        </is>
      </c>
      <c r="K157" t="inlineStr">
        <is>
          <t>Noor, Kamilo</t>
        </is>
      </c>
    </row>
    <row r="158">
      <c r="A158" t="inlineStr">
        <is>
          <t>Abdi, Samira</t>
        </is>
      </c>
      <c r="B158" s="3" t="n">
        <v>46008</v>
      </c>
      <c r="C158" t="inlineStr">
        <is>
          <t>04:00pm - 08:00pm</t>
        </is>
      </c>
      <c r="I158" t="inlineStr">
        <is>
          <t>1/1 
97153</t>
        </is>
      </c>
      <c r="K158" t="inlineStr">
        <is>
          <t>Barqab, Mushtaq</t>
        </is>
      </c>
    </row>
    <row r="159">
      <c r="A159" t="inlineStr">
        <is>
          <t>Sulub, Sharmake</t>
        </is>
      </c>
      <c r="B159" s="3" t="n">
        <v>46008</v>
      </c>
      <c r="C159" t="inlineStr">
        <is>
          <t>04:00pm - 07:00pm</t>
        </is>
      </c>
      <c r="I159" t="inlineStr">
        <is>
          <t>O&amp;D 
97155</t>
        </is>
      </c>
      <c r="K159" t="inlineStr">
        <is>
          <t>Abdulle, Zamzam</t>
        </is>
      </c>
    </row>
    <row r="160">
      <c r="A160" t="inlineStr">
        <is>
          <t>Abdi, Salman</t>
        </is>
      </c>
      <c r="B160" s="3" t="n">
        <v>46008</v>
      </c>
      <c r="C160" t="inlineStr">
        <is>
          <t>04:30pm - 06:30pm</t>
        </is>
      </c>
      <c r="I160" t="inlineStr">
        <is>
          <t>O&amp;D 
97155</t>
        </is>
      </c>
      <c r="K160" t="inlineStr">
        <is>
          <t>Osman, Basra</t>
        </is>
      </c>
    </row>
    <row r="161">
      <c r="A161" t="inlineStr">
        <is>
          <t>Abdi, Ahmed</t>
        </is>
      </c>
      <c r="B161" s="3" t="n">
        <v>46008</v>
      </c>
      <c r="C161" t="inlineStr">
        <is>
          <t>05:00pm - 08:00pm</t>
        </is>
      </c>
      <c r="I161" t="inlineStr">
        <is>
          <t>O&amp;D 
97155</t>
        </is>
      </c>
      <c r="K161" t="inlineStr">
        <is>
          <t>Muse, Adna</t>
        </is>
      </c>
    </row>
    <row r="162">
      <c r="A162" t="inlineStr">
        <is>
          <t>Kadir, Hamdi</t>
        </is>
      </c>
      <c r="B162" s="3" t="n">
        <v>46008</v>
      </c>
      <c r="C162" t="inlineStr">
        <is>
          <t>05:00pm - 08:00pm</t>
        </is>
      </c>
      <c r="I162" t="inlineStr">
        <is>
          <t>1/1 
97153</t>
        </is>
      </c>
      <c r="K162" t="inlineStr">
        <is>
          <t>Muse, Nawaal</t>
        </is>
      </c>
    </row>
    <row r="163">
      <c r="A163" t="inlineStr">
        <is>
          <t>Abdi, Samira</t>
        </is>
      </c>
      <c r="B163" s="3" t="n">
        <v>46008</v>
      </c>
      <c r="C163" t="inlineStr">
        <is>
          <t>05:00pm - 08:00pm</t>
        </is>
      </c>
      <c r="I163" t="inlineStr">
        <is>
          <t>O&amp;D 
97155</t>
        </is>
      </c>
      <c r="K163" t="inlineStr">
        <is>
          <t>Muse, Ayni</t>
        </is>
      </c>
    </row>
    <row r="164">
      <c r="A164" t="inlineStr">
        <is>
          <t>Abdi, Mohamed</t>
        </is>
      </c>
      <c r="B164" s="3" t="n">
        <v>46008</v>
      </c>
      <c r="C164" t="inlineStr">
        <is>
          <t>06:00pm - 08:00pm</t>
        </is>
      </c>
      <c r="I164" t="inlineStr">
        <is>
          <t>O&amp;D 
97155</t>
        </is>
      </c>
      <c r="K164" t="inlineStr">
        <is>
          <t>Hashi, Ridwan</t>
        </is>
      </c>
    </row>
    <row r="165">
      <c r="A165" t="inlineStr">
        <is>
          <t>Abdulkadir, Nadra</t>
        </is>
      </c>
      <c r="B165" s="3" t="n">
        <v>46009</v>
      </c>
      <c r="C165" t="inlineStr">
        <is>
          <t>11:00am - 06:30pm</t>
        </is>
      </c>
      <c r="I165" t="inlineStr">
        <is>
          <t>1/1 
97153</t>
        </is>
      </c>
      <c r="K165" t="inlineStr">
        <is>
          <t>Ran, Sameya</t>
        </is>
      </c>
    </row>
    <row r="166">
      <c r="A166" t="inlineStr">
        <is>
          <t>Mohamed, Sumaya</t>
        </is>
      </c>
      <c r="B166" s="3" t="n">
        <v>46009</v>
      </c>
      <c r="C166" t="inlineStr">
        <is>
          <t>12:00pm - 07:00pm</t>
        </is>
      </c>
      <c r="I166" t="inlineStr">
        <is>
          <t>1/1 
97153</t>
        </is>
      </c>
      <c r="K166" t="inlineStr">
        <is>
          <t>Hashi, Ridwan</t>
        </is>
      </c>
    </row>
    <row r="167">
      <c r="A167" t="inlineStr">
        <is>
          <t>Abdulkadir, Nadra</t>
        </is>
      </c>
      <c r="B167" s="3" t="n">
        <v>46009</v>
      </c>
      <c r="C167" t="inlineStr">
        <is>
          <t>12:00pm - 03:00pm</t>
        </is>
      </c>
      <c r="I167" t="inlineStr">
        <is>
          <t>O&amp;D 
97155</t>
        </is>
      </c>
      <c r="K167" t="inlineStr">
        <is>
          <t>mohamed, Madar</t>
        </is>
      </c>
    </row>
    <row r="168">
      <c r="A168" t="inlineStr">
        <is>
          <t>Mohamed, Sumaya</t>
        </is>
      </c>
      <c r="B168" s="3" t="n">
        <v>46009</v>
      </c>
      <c r="C168" t="inlineStr">
        <is>
          <t>12:30pm - 03:00pm</t>
        </is>
      </c>
      <c r="I168" t="inlineStr">
        <is>
          <t>O&amp;D 
97155</t>
        </is>
      </c>
      <c r="K168" t="inlineStr">
        <is>
          <t>Muse, Adna</t>
        </is>
      </c>
    </row>
    <row r="169">
      <c r="A169" t="inlineStr">
        <is>
          <t>Abdullahi, Abdirahman</t>
        </is>
      </c>
      <c r="B169" s="3" t="n">
        <v>46009</v>
      </c>
      <c r="C169" t="inlineStr">
        <is>
          <t>01:00pm - 04:00pm</t>
        </is>
      </c>
      <c r="I169" t="inlineStr">
        <is>
          <t>O&amp;D 
97155</t>
        </is>
      </c>
      <c r="K169" t="inlineStr">
        <is>
          <t>Hawadle, Abdiaziz</t>
        </is>
      </c>
    </row>
    <row r="170">
      <c r="A170" t="inlineStr">
        <is>
          <t>Abdullahi, Abdirahman</t>
        </is>
      </c>
      <c r="B170" s="3" t="n">
        <v>46009</v>
      </c>
      <c r="C170" t="inlineStr">
        <is>
          <t>01:00pm - 05:00pm</t>
        </is>
      </c>
      <c r="I170" t="inlineStr">
        <is>
          <t>1/1 
97153</t>
        </is>
      </c>
      <c r="K170" t="inlineStr">
        <is>
          <t>Omar, Mohamed</t>
        </is>
      </c>
    </row>
    <row r="171">
      <c r="A171" t="inlineStr">
        <is>
          <t>Yusuf, Khadija</t>
        </is>
      </c>
      <c r="B171" s="3" t="n">
        <v>46009</v>
      </c>
      <c r="C171" t="inlineStr">
        <is>
          <t>01:00pm - 04:00pm</t>
        </is>
      </c>
      <c r="I171" t="inlineStr">
        <is>
          <t>O&amp;D 
97155</t>
        </is>
      </c>
      <c r="K171" t="inlineStr">
        <is>
          <t>Noor, Kamilo</t>
        </is>
      </c>
    </row>
    <row r="172">
      <c r="A172" t="inlineStr">
        <is>
          <t>Yusuf, Khadija</t>
        </is>
      </c>
      <c r="B172" s="3" t="n">
        <v>46009</v>
      </c>
      <c r="C172" t="inlineStr">
        <is>
          <t>01:00pm - 04:00pm</t>
        </is>
      </c>
      <c r="I172" t="inlineStr">
        <is>
          <t>1/1 
97153</t>
        </is>
      </c>
      <c r="K172" t="inlineStr">
        <is>
          <t>Ali, Nasteho</t>
        </is>
      </c>
    </row>
    <row r="173">
      <c r="A173" t="inlineStr">
        <is>
          <t>Yusuf 2, Khadra</t>
        </is>
      </c>
      <c r="B173" s="3" t="n">
        <v>46009</v>
      </c>
      <c r="C173" t="inlineStr">
        <is>
          <t>01:00pm - 06:00pm</t>
        </is>
      </c>
      <c r="I173" t="inlineStr">
        <is>
          <t>1/1 
97153</t>
        </is>
      </c>
      <c r="K173" t="inlineStr">
        <is>
          <t>Ali, Naima</t>
        </is>
      </c>
    </row>
    <row r="174">
      <c r="A174" t="inlineStr">
        <is>
          <t>Yusuf 2, Khadra</t>
        </is>
      </c>
      <c r="B174" s="3" t="n">
        <v>46009</v>
      </c>
      <c r="C174" t="inlineStr">
        <is>
          <t>01:00pm - 04:00pm</t>
        </is>
      </c>
      <c r="I174" t="inlineStr">
        <is>
          <t>O&amp;D 
97155</t>
        </is>
      </c>
      <c r="K174" t="inlineStr">
        <is>
          <t>Muse, Ayni</t>
        </is>
      </c>
    </row>
    <row r="175">
      <c r="A175" t="inlineStr">
        <is>
          <t>Kadir, Hamdi</t>
        </is>
      </c>
      <c r="B175" s="3" t="n">
        <v>46009</v>
      </c>
      <c r="C175" t="inlineStr">
        <is>
          <t>02:00pm - 08:00pm</t>
        </is>
      </c>
      <c r="I175" t="inlineStr">
        <is>
          <t>1/1 
97153</t>
        </is>
      </c>
      <c r="K175" t="inlineStr">
        <is>
          <t>Muse, Nawaal</t>
        </is>
      </c>
    </row>
    <row r="176">
      <c r="A176" t="inlineStr">
        <is>
          <t>Kadir, Hamdi</t>
        </is>
      </c>
      <c r="B176" s="3" t="n">
        <v>46009</v>
      </c>
      <c r="C176" t="inlineStr">
        <is>
          <t>02:00pm - 03:00pm</t>
        </is>
      </c>
      <c r="I176" t="inlineStr">
        <is>
          <t>O&amp;D 
97155</t>
        </is>
      </c>
      <c r="K176" t="inlineStr">
        <is>
          <t>Osman, Basra</t>
        </is>
      </c>
    </row>
    <row r="177">
      <c r="A177" t="inlineStr">
        <is>
          <t>Abdi, Mohamed</t>
        </is>
      </c>
      <c r="B177" s="3" t="n">
        <v>46009</v>
      </c>
      <c r="C177" t="inlineStr">
        <is>
          <t>03:00pm - 08:00pm</t>
        </is>
      </c>
      <c r="I177" t="inlineStr">
        <is>
          <t>1/1 
97153</t>
        </is>
      </c>
      <c r="K177" t="inlineStr">
        <is>
          <t>Osman, Basra</t>
        </is>
      </c>
    </row>
    <row r="178">
      <c r="A178" t="inlineStr">
        <is>
          <t>Abdi, Ahmed</t>
        </is>
      </c>
      <c r="B178" s="3" t="n">
        <v>46009</v>
      </c>
      <c r="C178" t="inlineStr">
        <is>
          <t>03:00pm - 06:00pm</t>
        </is>
      </c>
      <c r="I178" t="inlineStr">
        <is>
          <t>O&amp;D 
97155</t>
        </is>
      </c>
      <c r="K178" t="inlineStr">
        <is>
          <t>Muse, Adna</t>
        </is>
      </c>
    </row>
    <row r="179">
      <c r="A179" t="inlineStr">
        <is>
          <t>Abdi, Salman</t>
        </is>
      </c>
      <c r="B179" s="3" t="n">
        <v>46009</v>
      </c>
      <c r="C179" t="inlineStr">
        <is>
          <t>03:00pm - 06:00pm</t>
        </is>
      </c>
      <c r="I179" t="inlineStr">
        <is>
          <t>O&amp;D 
97155</t>
        </is>
      </c>
      <c r="K179" t="inlineStr">
        <is>
          <t>mohamed, Madar</t>
        </is>
      </c>
    </row>
    <row r="180">
      <c r="A180" t="inlineStr">
        <is>
          <t>Abdi, Ahmed</t>
        </is>
      </c>
      <c r="B180" s="3" t="n">
        <v>46009</v>
      </c>
      <c r="C180" t="inlineStr">
        <is>
          <t>03:00pm - 08:00pm</t>
        </is>
      </c>
      <c r="I180" t="inlineStr">
        <is>
          <t>1/1 
97153</t>
        </is>
      </c>
      <c r="K180" t="inlineStr">
        <is>
          <t>Ibrahim, Ahmed</t>
        </is>
      </c>
    </row>
    <row r="181">
      <c r="A181" t="inlineStr">
        <is>
          <t>Abdi, Safia</t>
        </is>
      </c>
      <c r="B181" s="3" t="n">
        <v>46009</v>
      </c>
      <c r="C181" t="inlineStr">
        <is>
          <t>03:15pm - 08:00pm</t>
        </is>
      </c>
      <c r="I181" t="inlineStr">
        <is>
          <t>1/1 
97153</t>
        </is>
      </c>
      <c r="K181" t="inlineStr">
        <is>
          <t>Mohamed, Samsam</t>
        </is>
      </c>
    </row>
    <row r="182">
      <c r="A182" t="inlineStr">
        <is>
          <t>Abdi, Salman</t>
        </is>
      </c>
      <c r="B182" s="3" t="n">
        <v>46009</v>
      </c>
      <c r="C182" t="inlineStr">
        <is>
          <t>03:15pm - 08:00pm</t>
        </is>
      </c>
      <c r="I182" t="inlineStr">
        <is>
          <t>1/1 
97153</t>
        </is>
      </c>
      <c r="K182" t="inlineStr">
        <is>
          <t>Mohamed, Mohamed</t>
        </is>
      </c>
    </row>
    <row r="183">
      <c r="A183" t="inlineStr">
        <is>
          <t>Ali, Saami</t>
        </is>
      </c>
      <c r="B183" s="3" t="n">
        <v>46009</v>
      </c>
      <c r="C183" t="inlineStr">
        <is>
          <t>03:30pm - 08:00pm</t>
        </is>
      </c>
      <c r="I183" t="inlineStr">
        <is>
          <t>1/1 
97153</t>
        </is>
      </c>
      <c r="K183" t="inlineStr">
        <is>
          <t>Muse, Aaliya</t>
        </is>
      </c>
    </row>
    <row r="184">
      <c r="A184" t="inlineStr">
        <is>
          <t>Jama, Khadija</t>
        </is>
      </c>
      <c r="B184" s="3" t="n">
        <v>46009</v>
      </c>
      <c r="C184" t="inlineStr">
        <is>
          <t>03:30pm - 08:00pm</t>
        </is>
      </c>
      <c r="I184" t="inlineStr">
        <is>
          <t>1/1 
97153</t>
        </is>
      </c>
      <c r="K184" t="inlineStr">
        <is>
          <t>Ali, Amira</t>
        </is>
      </c>
    </row>
    <row r="185">
      <c r="A185" t="inlineStr">
        <is>
          <t>Abdi, Samira</t>
        </is>
      </c>
      <c r="B185" s="3" t="n">
        <v>46009</v>
      </c>
      <c r="C185" t="inlineStr">
        <is>
          <t>04:00pm - 05:00pm</t>
        </is>
      </c>
      <c r="I185" t="inlineStr">
        <is>
          <t>1/1 
97153</t>
        </is>
      </c>
      <c r="K185" t="inlineStr">
        <is>
          <t>Abdulle, Zamzam</t>
        </is>
      </c>
    </row>
    <row r="186">
      <c r="A186" t="inlineStr">
        <is>
          <t>Yusuf, Khadija</t>
        </is>
      </c>
      <c r="B186" s="3" t="n">
        <v>46009</v>
      </c>
      <c r="C186" t="inlineStr">
        <is>
          <t>04:00pm - 06:00pm</t>
        </is>
      </c>
      <c r="I186" t="inlineStr">
        <is>
          <t>1/1 
97153</t>
        </is>
      </c>
      <c r="K186" t="inlineStr">
        <is>
          <t>Noor, Kamilo</t>
        </is>
      </c>
    </row>
    <row r="187">
      <c r="A187" t="inlineStr">
        <is>
          <t>Sulub, Sharmake</t>
        </is>
      </c>
      <c r="B187" s="3" t="n">
        <v>46009</v>
      </c>
      <c r="C187" t="inlineStr">
        <is>
          <t>04:00pm - 08:00pm</t>
        </is>
      </c>
      <c r="I187" t="inlineStr">
        <is>
          <t>1/1 
97153</t>
        </is>
      </c>
      <c r="K187" t="inlineStr">
        <is>
          <t>Ali, Nasteho</t>
        </is>
      </c>
    </row>
    <row r="188">
      <c r="A188" t="inlineStr">
        <is>
          <t>Sulub, Sharmake</t>
        </is>
      </c>
      <c r="B188" s="3" t="n">
        <v>46009</v>
      </c>
      <c r="C188" t="inlineStr">
        <is>
          <t>04:00pm - 07:00pm</t>
        </is>
      </c>
      <c r="I188" t="inlineStr">
        <is>
          <t>O&amp;D 
97155</t>
        </is>
      </c>
      <c r="K188" t="inlineStr">
        <is>
          <t>Muse, Ayni</t>
        </is>
      </c>
    </row>
    <row r="189">
      <c r="A189" t="inlineStr">
        <is>
          <t>Abdi, Samira</t>
        </is>
      </c>
      <c r="B189" s="3" t="n">
        <v>46009</v>
      </c>
      <c r="C189" t="inlineStr">
        <is>
          <t>05:00pm - 08:00pm</t>
        </is>
      </c>
      <c r="I189" t="inlineStr">
        <is>
          <t>1/1 
97153</t>
        </is>
      </c>
      <c r="K189" t="inlineStr">
        <is>
          <t>Omar, Mohamed</t>
        </is>
      </c>
    </row>
    <row r="190">
      <c r="A190" t="inlineStr">
        <is>
          <t>Abdi, Safia</t>
        </is>
      </c>
      <c r="B190" s="3" t="n">
        <v>46009</v>
      </c>
      <c r="C190" t="inlineStr">
        <is>
          <t>06:00pm - 08:00pm</t>
        </is>
      </c>
      <c r="I190" t="inlineStr">
        <is>
          <t>O&amp;D 
97155</t>
        </is>
      </c>
      <c r="K190" t="inlineStr">
        <is>
          <t>Muse, Adna</t>
        </is>
      </c>
    </row>
    <row r="191">
      <c r="A191" t="inlineStr">
        <is>
          <t>Jama, Khadija</t>
        </is>
      </c>
      <c r="B191" s="3" t="n">
        <v>46009</v>
      </c>
      <c r="C191" t="inlineStr">
        <is>
          <t>06:00pm - 07:45pm</t>
        </is>
      </c>
      <c r="I191" t="inlineStr">
        <is>
          <t>O&amp;D 
97155</t>
        </is>
      </c>
      <c r="K191" t="inlineStr">
        <is>
          <t>Noor, Kamilo</t>
        </is>
      </c>
    </row>
    <row r="192">
      <c r="A192" t="inlineStr">
        <is>
          <t>Abdullahi, Abdirahman</t>
        </is>
      </c>
      <c r="B192" s="3" t="n">
        <v>46010</v>
      </c>
      <c r="C192" t="inlineStr">
        <is>
          <t>12:00pm - 05:00pm</t>
        </is>
      </c>
      <c r="I192" t="inlineStr">
        <is>
          <t>1/1 
97153</t>
        </is>
      </c>
      <c r="K192" t="inlineStr">
        <is>
          <t>Omar, Mohamed</t>
        </is>
      </c>
    </row>
    <row r="193">
      <c r="A193" t="inlineStr">
        <is>
          <t>Kadir, Hamdi</t>
        </is>
      </c>
      <c r="B193" s="3" t="n">
        <v>46010</v>
      </c>
      <c r="C193" t="inlineStr">
        <is>
          <t>12:00pm - 08:00pm</t>
        </is>
      </c>
      <c r="I193" t="inlineStr">
        <is>
          <t>1/1 
97153</t>
        </is>
      </c>
      <c r="K193" t="inlineStr">
        <is>
          <t>Barqab, Mushtaq</t>
        </is>
      </c>
    </row>
    <row r="194">
      <c r="A194" t="inlineStr">
        <is>
          <t>Mohamed, Sumaya</t>
        </is>
      </c>
      <c r="B194" s="3" t="n">
        <v>46010</v>
      </c>
      <c r="C194" t="inlineStr">
        <is>
          <t>12:00pm - 07:00pm</t>
        </is>
      </c>
      <c r="I194" t="inlineStr">
        <is>
          <t>1/1 
97153</t>
        </is>
      </c>
      <c r="K194" t="inlineStr">
        <is>
          <t>Ali, Amira</t>
        </is>
      </c>
    </row>
    <row r="195">
      <c r="A195" t="inlineStr">
        <is>
          <t>Kadir, Hamdi</t>
        </is>
      </c>
      <c r="B195" s="3" t="n">
        <v>46010</v>
      </c>
      <c r="C195" t="inlineStr">
        <is>
          <t>12:00pm - 03:00pm</t>
        </is>
      </c>
      <c r="I195" t="inlineStr">
        <is>
          <t>O&amp;D 
97155</t>
        </is>
      </c>
      <c r="K195" t="inlineStr">
        <is>
          <t>Muse, Aaliya</t>
        </is>
      </c>
    </row>
    <row r="196">
      <c r="A196" t="inlineStr">
        <is>
          <t>Yusuf, Khadija</t>
        </is>
      </c>
      <c r="B196" s="3" t="n">
        <v>46010</v>
      </c>
      <c r="C196" t="inlineStr">
        <is>
          <t>01:00pm - 06:00pm</t>
        </is>
      </c>
      <c r="I196" t="inlineStr">
        <is>
          <t>1/1 
97153</t>
        </is>
      </c>
      <c r="K196" t="inlineStr">
        <is>
          <t>Noor, Kamilo</t>
        </is>
      </c>
    </row>
    <row r="197">
      <c r="A197" t="inlineStr">
        <is>
          <t>Mohamed, Sumaya</t>
        </is>
      </c>
      <c r="B197" s="3" t="n">
        <v>46010</v>
      </c>
      <c r="C197" t="inlineStr">
        <is>
          <t>01:00pm - 04:00pm</t>
        </is>
      </c>
      <c r="I197" t="inlineStr">
        <is>
          <t>O&amp;D 
97155</t>
        </is>
      </c>
      <c r="K197" t="inlineStr">
        <is>
          <t>Muse, Adna</t>
        </is>
      </c>
    </row>
    <row r="198">
      <c r="A198" t="inlineStr">
        <is>
          <t>Abdulkadir, Nadra</t>
        </is>
      </c>
      <c r="B198" s="3" t="n">
        <v>46010</v>
      </c>
      <c r="C198" t="inlineStr">
        <is>
          <t>01:30pm - 04:00pm</t>
        </is>
      </c>
      <c r="I198" t="inlineStr">
        <is>
          <t>1/1 
97153</t>
        </is>
      </c>
      <c r="K198" t="inlineStr">
        <is>
          <t>Ali, Nasteho</t>
        </is>
      </c>
    </row>
    <row r="199">
      <c r="A199" t="inlineStr">
        <is>
          <t>Abdulkadir, Nadra</t>
        </is>
      </c>
      <c r="B199" s="3" t="n">
        <v>46010</v>
      </c>
      <c r="C199" t="inlineStr">
        <is>
          <t>01:30pm - 04:30pm</t>
        </is>
      </c>
      <c r="I199" t="inlineStr">
        <is>
          <t>O&amp;D 
97155</t>
        </is>
      </c>
      <c r="K199" t="inlineStr">
        <is>
          <t>mohamed, Madar</t>
        </is>
      </c>
    </row>
    <row r="200">
      <c r="A200" t="inlineStr">
        <is>
          <t>Abdi, Ahmed</t>
        </is>
      </c>
      <c r="B200" s="3" t="n">
        <v>46010</v>
      </c>
      <c r="C200" t="inlineStr">
        <is>
          <t>03:00pm - 08:00pm</t>
        </is>
      </c>
      <c r="I200" t="inlineStr">
        <is>
          <t>1/1 
97153</t>
        </is>
      </c>
      <c r="K200" t="inlineStr">
        <is>
          <t>Ibrahim, Ahmed</t>
        </is>
      </c>
    </row>
    <row r="201">
      <c r="A201" t="inlineStr">
        <is>
          <t>Abdi, Mohamed</t>
        </is>
      </c>
      <c r="B201" s="3" t="n">
        <v>46010</v>
      </c>
      <c r="C201" t="inlineStr">
        <is>
          <t>03:00pm - 08:00pm</t>
        </is>
      </c>
      <c r="I201" t="inlineStr">
        <is>
          <t>1/1 
97153</t>
        </is>
      </c>
      <c r="K201" t="inlineStr">
        <is>
          <t>Mohamed, Samsam</t>
        </is>
      </c>
    </row>
    <row r="202">
      <c r="A202" t="inlineStr">
        <is>
          <t>Abdi, Safia</t>
        </is>
      </c>
      <c r="B202" s="3" t="n">
        <v>46010</v>
      </c>
      <c r="C202" t="inlineStr">
        <is>
          <t>03:15pm - 08:00pm</t>
        </is>
      </c>
      <c r="I202" t="inlineStr">
        <is>
          <t>1/1 
97153</t>
        </is>
      </c>
      <c r="K202" t="inlineStr">
        <is>
          <t>Mohamed, Mohamed</t>
        </is>
      </c>
    </row>
    <row r="203">
      <c r="A203" t="inlineStr">
        <is>
          <t>Ali, Saami</t>
        </is>
      </c>
      <c r="B203" s="3" t="n">
        <v>46010</v>
      </c>
      <c r="C203" t="inlineStr">
        <is>
          <t>03:30pm - 07:40pm</t>
        </is>
      </c>
      <c r="I203" t="inlineStr">
        <is>
          <t>1/1 
97153</t>
        </is>
      </c>
      <c r="K203" t="inlineStr">
        <is>
          <t>Muse, Aaliya</t>
        </is>
      </c>
    </row>
    <row r="204">
      <c r="A204" t="inlineStr">
        <is>
          <t>Jama, Khadija</t>
        </is>
      </c>
      <c r="B204" s="3" t="n">
        <v>46010</v>
      </c>
      <c r="C204" t="inlineStr">
        <is>
          <t>03:30pm - 08:00pm</t>
        </is>
      </c>
      <c r="I204" t="inlineStr">
        <is>
          <t>1/1 
97153</t>
        </is>
      </c>
      <c r="K204" t="inlineStr">
        <is>
          <t>Hashi, Ridwan</t>
        </is>
      </c>
    </row>
    <row r="205">
      <c r="A205" t="inlineStr">
        <is>
          <t>Sulub, Sharmake</t>
        </is>
      </c>
      <c r="B205" s="3" t="n">
        <v>46010</v>
      </c>
      <c r="C205" t="inlineStr">
        <is>
          <t>04:00pm - 08:00pm</t>
        </is>
      </c>
      <c r="I205" t="inlineStr">
        <is>
          <t>1/1 
97153</t>
        </is>
      </c>
      <c r="K205" t="inlineStr">
        <is>
          <t>Ali, Nasteho</t>
        </is>
      </c>
    </row>
    <row r="206">
      <c r="A206" t="inlineStr">
        <is>
          <t>Sulub, Sharmake</t>
        </is>
      </c>
      <c r="B206" s="3" t="n">
        <v>46010</v>
      </c>
      <c r="C206" t="inlineStr">
        <is>
          <t>04:00pm - 07:00pm</t>
        </is>
      </c>
      <c r="I206" t="inlineStr">
        <is>
          <t>O&amp;D 
97155</t>
        </is>
      </c>
      <c r="K206" t="inlineStr">
        <is>
          <t>Abdulle, Zamzam</t>
        </is>
      </c>
    </row>
    <row r="207">
      <c r="A207" t="inlineStr">
        <is>
          <t>Abdi, Samira</t>
        </is>
      </c>
      <c r="B207" s="3" t="n">
        <v>46010</v>
      </c>
      <c r="C207" t="inlineStr">
        <is>
          <t>04:00pm - 08:00pm</t>
        </is>
      </c>
      <c r="I207" t="inlineStr">
        <is>
          <t>1/1 
97153</t>
        </is>
      </c>
      <c r="K207" t="inlineStr">
        <is>
          <t>Muse, Adna</t>
        </is>
      </c>
    </row>
    <row r="208">
      <c r="A208" t="inlineStr">
        <is>
          <t>Abdulkadir, Nadra</t>
        </is>
      </c>
      <c r="B208" s="3" t="n">
        <v>46010</v>
      </c>
      <c r="C208" t="inlineStr">
        <is>
          <t>04:00pm - 06:30pm</t>
        </is>
      </c>
      <c r="I208" t="inlineStr">
        <is>
          <t>1/1 
97153</t>
        </is>
      </c>
      <c r="K208" t="inlineStr">
        <is>
          <t>Muse, Ayni</t>
        </is>
      </c>
    </row>
    <row r="209">
      <c r="A209" t="inlineStr">
        <is>
          <t>Abdi, Safia</t>
        </is>
      </c>
      <c r="B209" s="3" t="n">
        <v>46010</v>
      </c>
      <c r="C209" t="inlineStr">
        <is>
          <t>06:30pm - 08:00pm</t>
        </is>
      </c>
      <c r="I209" t="inlineStr">
        <is>
          <t>O&amp;D 
97155</t>
        </is>
      </c>
      <c r="K209" t="inlineStr">
        <is>
          <t>Muse, Ayni</t>
        </is>
      </c>
    </row>
    <row r="210">
      <c r="A210" t="inlineStr">
        <is>
          <t>Yusuf, Khadija</t>
        </is>
      </c>
      <c r="B210" s="3" t="n">
        <v>46011</v>
      </c>
      <c r="C210" t="inlineStr">
        <is>
          <t>09:00am - 05:00pm</t>
        </is>
      </c>
      <c r="I210" t="inlineStr">
        <is>
          <t>1/1 
97153</t>
        </is>
      </c>
      <c r="K210" t="inlineStr">
        <is>
          <t>Muse, Ayni</t>
        </is>
      </c>
    </row>
    <row r="211">
      <c r="A211" t="inlineStr">
        <is>
          <t>Yusuf, Khadija</t>
        </is>
      </c>
      <c r="B211" s="3" t="n">
        <v>46011</v>
      </c>
      <c r="C211" t="inlineStr">
        <is>
          <t>09:00am - 12:00pm</t>
        </is>
      </c>
      <c r="I211" t="inlineStr">
        <is>
          <t>O&amp;D 
97155</t>
        </is>
      </c>
      <c r="K211" t="inlineStr">
        <is>
          <t>Muse, Adna</t>
        </is>
      </c>
    </row>
    <row r="212">
      <c r="A212" t="inlineStr">
        <is>
          <t>Yusuf 2, Khadra</t>
        </is>
      </c>
      <c r="B212" s="3" t="n">
        <v>46011</v>
      </c>
      <c r="C212" t="inlineStr">
        <is>
          <t>09:00am - 11:15am</t>
        </is>
      </c>
      <c r="I212" t="inlineStr">
        <is>
          <t>1/1 
97153</t>
        </is>
      </c>
      <c r="K212" t="inlineStr">
        <is>
          <t>Osman, Basra</t>
        </is>
      </c>
    </row>
    <row r="213">
      <c r="A213" t="inlineStr">
        <is>
          <t>Jama, Khadija</t>
        </is>
      </c>
      <c r="B213" s="3" t="n">
        <v>46011</v>
      </c>
      <c r="C213" t="inlineStr">
        <is>
          <t>10:00am - 06:00pm</t>
        </is>
      </c>
      <c r="I213" t="inlineStr">
        <is>
          <t>1/1 
97153</t>
        </is>
      </c>
      <c r="K213" t="inlineStr">
        <is>
          <t>Ran, Sameya</t>
        </is>
      </c>
    </row>
    <row r="214">
      <c r="A214" t="inlineStr">
        <is>
          <t>Kadir, Hamdi</t>
        </is>
      </c>
      <c r="B214" s="3" t="n">
        <v>46011</v>
      </c>
      <c r="C214" t="inlineStr">
        <is>
          <t>10:00am - 06:00pm</t>
        </is>
      </c>
      <c r="I214" t="inlineStr">
        <is>
          <t>1/1 
97153</t>
        </is>
      </c>
      <c r="K214" t="inlineStr">
        <is>
          <t>Hashi, Ridwan</t>
        </is>
      </c>
    </row>
    <row r="215">
      <c r="A215" t="inlineStr">
        <is>
          <t>Abdi, Safia</t>
        </is>
      </c>
      <c r="B215" s="3" t="n">
        <v>46011</v>
      </c>
      <c r="C215" t="inlineStr">
        <is>
          <t>10:00am - 05:00pm</t>
        </is>
      </c>
      <c r="I215" t="inlineStr">
        <is>
          <t>1/1 
97153</t>
        </is>
      </c>
      <c r="K215" t="inlineStr">
        <is>
          <t>Mohamed, Mohamed</t>
        </is>
      </c>
    </row>
    <row r="216">
      <c r="A216" t="inlineStr">
        <is>
          <t>Sulub, Sharmake</t>
        </is>
      </c>
      <c r="B216" s="3" t="n">
        <v>46011</v>
      </c>
      <c r="C216" t="inlineStr">
        <is>
          <t>10:00am - 06:00pm</t>
        </is>
      </c>
      <c r="I216" t="inlineStr">
        <is>
          <t>1/1 
97153</t>
        </is>
      </c>
      <c r="K216" t="inlineStr">
        <is>
          <t>Ali, Nasteho</t>
        </is>
      </c>
    </row>
    <row r="217">
      <c r="A217" t="inlineStr">
        <is>
          <t>Mohamed, Sumaya</t>
        </is>
      </c>
      <c r="B217" s="3" t="n">
        <v>46011</v>
      </c>
      <c r="C217" t="inlineStr">
        <is>
          <t>10:00am - 06:00pm</t>
        </is>
      </c>
      <c r="I217" t="inlineStr">
        <is>
          <t>1/1 
97153</t>
        </is>
      </c>
      <c r="K217" t="inlineStr">
        <is>
          <t>Muse, Nawaal</t>
        </is>
      </c>
    </row>
    <row r="218">
      <c r="A218" t="inlineStr">
        <is>
          <t>Abdi, Mohamed</t>
        </is>
      </c>
      <c r="B218" s="3" t="n">
        <v>46011</v>
      </c>
      <c r="C218" t="inlineStr">
        <is>
          <t>10:00am - 06:00pm</t>
        </is>
      </c>
      <c r="I218" t="inlineStr">
        <is>
          <t>1/1 
97153</t>
        </is>
      </c>
      <c r="K218" t="inlineStr">
        <is>
          <t>Mohamed, Samsam</t>
        </is>
      </c>
    </row>
    <row r="219">
      <c r="A219" t="inlineStr">
        <is>
          <t>Abdi, Ahmed</t>
        </is>
      </c>
      <c r="B219" s="3" t="n">
        <v>46011</v>
      </c>
      <c r="C219" t="inlineStr">
        <is>
          <t>10:00am - 06:00pm</t>
        </is>
      </c>
      <c r="I219" t="inlineStr">
        <is>
          <t>1/1 
97153</t>
        </is>
      </c>
      <c r="K219" t="inlineStr">
        <is>
          <t>Omar, Mohamed</t>
        </is>
      </c>
    </row>
    <row r="220">
      <c r="A220" t="inlineStr">
        <is>
          <t>Ali, Saami</t>
        </is>
      </c>
      <c r="B220" s="3" t="n">
        <v>46011</v>
      </c>
      <c r="C220" t="inlineStr">
        <is>
          <t>10:00am - 06:00pm</t>
        </is>
      </c>
      <c r="I220" t="inlineStr">
        <is>
          <t>1/1 
97153</t>
        </is>
      </c>
      <c r="K220" t="inlineStr">
        <is>
          <t>Muse, Aaliya</t>
        </is>
      </c>
    </row>
    <row r="221">
      <c r="A221" t="inlineStr">
        <is>
          <t>Sulub, Sharmake</t>
        </is>
      </c>
      <c r="B221" s="3" t="n">
        <v>46011</v>
      </c>
      <c r="C221" t="inlineStr">
        <is>
          <t>10:00am - 01:00pm</t>
        </is>
      </c>
      <c r="I221" t="inlineStr">
        <is>
          <t>O&amp;D 
97155</t>
        </is>
      </c>
      <c r="K221" t="inlineStr">
        <is>
          <t>Abdulle, Zamzam</t>
        </is>
      </c>
    </row>
    <row r="222">
      <c r="A222" t="inlineStr">
        <is>
          <t>Abdi, Safia</t>
        </is>
      </c>
      <c r="B222" s="3" t="n">
        <v>46011</v>
      </c>
      <c r="C222" t="inlineStr">
        <is>
          <t>10:00am - 01:00pm</t>
        </is>
      </c>
      <c r="I222" t="inlineStr">
        <is>
          <t>O&amp;D 
97155</t>
        </is>
      </c>
      <c r="K222" t="inlineStr">
        <is>
          <t>mohamed, Madar</t>
        </is>
      </c>
    </row>
    <row r="223">
      <c r="A223" t="inlineStr">
        <is>
          <t>Abdi, Samira</t>
        </is>
      </c>
      <c r="B223" s="3" t="n">
        <v>46011</v>
      </c>
      <c r="C223" t="inlineStr">
        <is>
          <t>11:15am - 05:00pm</t>
        </is>
      </c>
      <c r="I223" t="inlineStr">
        <is>
          <t>1/1 
97153</t>
        </is>
      </c>
      <c r="K223" t="inlineStr">
        <is>
          <t>Osman, Basra</t>
        </is>
      </c>
    </row>
    <row r="224">
      <c r="A224" t="inlineStr">
        <is>
          <t>Yusuf 2, Khadra</t>
        </is>
      </c>
      <c r="B224" s="3" t="n">
        <v>46011</v>
      </c>
      <c r="C224" t="inlineStr">
        <is>
          <t>11:15am - 05:00pm</t>
        </is>
      </c>
      <c r="I224" t="inlineStr">
        <is>
          <t>1/1 
97153</t>
        </is>
      </c>
      <c r="K224" t="inlineStr">
        <is>
          <t>Barqab, Mushtaq</t>
        </is>
      </c>
    </row>
    <row r="225">
      <c r="A225" t="inlineStr">
        <is>
          <t>Yusuf 2, Khadra</t>
        </is>
      </c>
      <c r="B225" s="3" t="n">
        <v>46011</v>
      </c>
      <c r="C225" t="inlineStr">
        <is>
          <t>11:30am - 01:00pm</t>
        </is>
      </c>
      <c r="I225" t="inlineStr">
        <is>
          <t>O&amp;D 
97155</t>
        </is>
      </c>
      <c r="K225" t="inlineStr">
        <is>
          <t>Ibrahim, Ahmed</t>
        </is>
      </c>
    </row>
    <row r="226">
      <c r="A226" t="inlineStr">
        <is>
          <t>Mohamed, Sumaya</t>
        </is>
      </c>
      <c r="B226" s="3" t="n">
        <v>46011</v>
      </c>
      <c r="C226" t="inlineStr">
        <is>
          <t>12:00pm - 03:00pm</t>
        </is>
      </c>
      <c r="I226" t="inlineStr">
        <is>
          <t>O&amp;D 
97155</t>
        </is>
      </c>
      <c r="K226" t="inlineStr">
        <is>
          <t>Muse, Adna</t>
        </is>
      </c>
    </row>
    <row r="227">
      <c r="A227" t="inlineStr">
        <is>
          <t>Kadir, Hamdi</t>
        </is>
      </c>
      <c r="B227" s="3" t="n">
        <v>46011</v>
      </c>
      <c r="C227" t="inlineStr">
        <is>
          <t>01:00pm - 04:00pm</t>
        </is>
      </c>
      <c r="I227" t="inlineStr">
        <is>
          <t>O&amp;D 
97155</t>
        </is>
      </c>
      <c r="K227" t="inlineStr">
        <is>
          <t>Ibrahim, Ahmed</t>
        </is>
      </c>
    </row>
    <row r="228">
      <c r="A228" t="inlineStr">
        <is>
          <t>Jama, Khadija</t>
        </is>
      </c>
      <c r="B228" s="3" t="n">
        <v>46011</v>
      </c>
      <c r="C228" t="inlineStr">
        <is>
          <t>03:00pm - 06:00pm</t>
        </is>
      </c>
      <c r="I228" t="inlineStr">
        <is>
          <t>O&amp;D 
97155</t>
        </is>
      </c>
      <c r="K228" t="inlineStr">
        <is>
          <t>Muse, Adna</t>
        </is>
      </c>
    </row>
    <row r="229">
      <c r="A229" t="inlineStr">
        <is>
          <t>Ali, Saami</t>
        </is>
      </c>
      <c r="B229" s="3" t="n">
        <v>46011</v>
      </c>
      <c r="C229" t="inlineStr">
        <is>
          <t>04:00pm - 06:00pm</t>
        </is>
      </c>
      <c r="I229" t="inlineStr">
        <is>
          <t>O&amp;D 
97155</t>
        </is>
      </c>
      <c r="K229" t="inlineStr">
        <is>
          <t>Ibrahim, Ahmed</t>
        </is>
      </c>
    </row>
    <row r="230">
      <c r="A230" t="inlineStr">
        <is>
          <t>Sulub, Sharmake</t>
        </is>
      </c>
      <c r="B230" s="3" t="n">
        <v>46013</v>
      </c>
      <c r="C230" t="inlineStr">
        <is>
          <t>09:00am - 03:00pm</t>
        </is>
      </c>
      <c r="I230" t="inlineStr">
        <is>
          <t>1/1 
97153</t>
        </is>
      </c>
      <c r="K230" t="inlineStr">
        <is>
          <t>Ali, Nasteho</t>
        </is>
      </c>
    </row>
    <row r="231">
      <c r="A231" t="inlineStr">
        <is>
          <t>Sulub, Sharmake</t>
        </is>
      </c>
      <c r="B231" s="3" t="n">
        <v>46013</v>
      </c>
      <c r="C231" t="inlineStr">
        <is>
          <t>09:00am - 12:00pm</t>
        </is>
      </c>
      <c r="I231" t="inlineStr">
        <is>
          <t>O&amp;D 
97155</t>
        </is>
      </c>
      <c r="K231" t="inlineStr">
        <is>
          <t>Abdulle, Zamzam</t>
        </is>
      </c>
    </row>
    <row r="232">
      <c r="A232" t="inlineStr">
        <is>
          <t>Yusuf 2, Khadra</t>
        </is>
      </c>
      <c r="B232" s="3" t="n">
        <v>46013</v>
      </c>
      <c r="C232" t="inlineStr">
        <is>
          <t>10:00am - 06:00pm</t>
        </is>
      </c>
      <c r="I232" t="inlineStr">
        <is>
          <t>1/1 
97153</t>
        </is>
      </c>
      <c r="K232" t="inlineStr">
        <is>
          <t>Hashi, Ridwan</t>
        </is>
      </c>
    </row>
    <row r="233">
      <c r="A233" t="inlineStr">
        <is>
          <t>Jama, Khadija</t>
        </is>
      </c>
      <c r="B233" s="3" t="n">
        <v>46013</v>
      </c>
      <c r="C233" t="inlineStr">
        <is>
          <t>10:00am - 06:00pm</t>
        </is>
      </c>
      <c r="I233" t="inlineStr">
        <is>
          <t>1/1 
97153</t>
        </is>
      </c>
      <c r="K233" t="inlineStr">
        <is>
          <t>Noor, Kamilo</t>
        </is>
      </c>
    </row>
    <row r="234">
      <c r="A234" t="inlineStr">
        <is>
          <t>Yusuf 2, Khadra</t>
        </is>
      </c>
      <c r="B234" s="3" t="n">
        <v>46013</v>
      </c>
      <c r="C234" t="inlineStr">
        <is>
          <t>10:00am - 12:00pm</t>
        </is>
      </c>
      <c r="I234" t="inlineStr">
        <is>
          <t>O&amp;D 
97155</t>
        </is>
      </c>
      <c r="K234" t="inlineStr">
        <is>
          <t>Muse, Adna</t>
        </is>
      </c>
    </row>
    <row r="235">
      <c r="A235" t="inlineStr">
        <is>
          <t>Abdullahi, Abdirahman</t>
        </is>
      </c>
      <c r="B235" s="3" t="n">
        <v>46013</v>
      </c>
      <c r="C235" t="inlineStr">
        <is>
          <t>10:30am - 05:00pm</t>
        </is>
      </c>
      <c r="I235" t="inlineStr">
        <is>
          <t>1/1 
97153</t>
        </is>
      </c>
      <c r="K235" t="inlineStr">
        <is>
          <t>Ran, Sameya</t>
        </is>
      </c>
    </row>
    <row r="236">
      <c r="A236" t="inlineStr">
        <is>
          <t>Abdullahi, Abdirahman</t>
        </is>
      </c>
      <c r="B236" s="3" t="n">
        <v>46013</v>
      </c>
      <c r="C236" t="inlineStr">
        <is>
          <t>10:30am - 01:00pm</t>
        </is>
      </c>
      <c r="I236" t="inlineStr">
        <is>
          <t>O&amp;D 
97155</t>
        </is>
      </c>
      <c r="K236" t="inlineStr">
        <is>
          <t>Muse, Ayni</t>
        </is>
      </c>
    </row>
    <row r="237">
      <c r="A237" t="inlineStr">
        <is>
          <t>Abdulkadir, Nadra</t>
        </is>
      </c>
      <c r="B237" s="3" t="n">
        <v>46013</v>
      </c>
      <c r="C237" t="inlineStr">
        <is>
          <t>11:30am - 06:30pm</t>
        </is>
      </c>
      <c r="I237" t="inlineStr">
        <is>
          <t>1/1 
97153</t>
        </is>
      </c>
      <c r="K237" t="inlineStr">
        <is>
          <t>Ali, Amira</t>
        </is>
      </c>
    </row>
    <row r="238">
      <c r="A238" t="inlineStr">
        <is>
          <t>Mohamed, Sumaya</t>
        </is>
      </c>
      <c r="B238" s="3" t="n">
        <v>46013</v>
      </c>
      <c r="C238" t="inlineStr">
        <is>
          <t>12:00pm - 08:00pm</t>
        </is>
      </c>
      <c r="I238" t="inlineStr">
        <is>
          <t>1/1 
97153</t>
        </is>
      </c>
      <c r="K238" t="inlineStr">
        <is>
          <t>Muse, Adna</t>
        </is>
      </c>
    </row>
    <row r="239">
      <c r="A239" t="inlineStr">
        <is>
          <t>Abdi, Salman</t>
        </is>
      </c>
      <c r="B239" s="3" t="n">
        <v>46013</v>
      </c>
      <c r="C239" t="inlineStr">
        <is>
          <t>12:00pm - 08:00pm</t>
        </is>
      </c>
      <c r="I239" t="inlineStr">
        <is>
          <t>1/1 
97153</t>
        </is>
      </c>
      <c r="K239" t="inlineStr">
        <is>
          <t>Omar, Mohamed</t>
        </is>
      </c>
    </row>
    <row r="240">
      <c r="A240" t="inlineStr">
        <is>
          <t>Ali, Saami</t>
        </is>
      </c>
      <c r="B240" s="3" t="n">
        <v>46013</v>
      </c>
      <c r="C240" t="inlineStr">
        <is>
          <t>12:00pm - 08:00pm</t>
        </is>
      </c>
      <c r="I240" t="inlineStr">
        <is>
          <t>1/1 
97153</t>
        </is>
      </c>
      <c r="K240" t="inlineStr">
        <is>
          <t>Muse, Aaliya</t>
        </is>
      </c>
    </row>
    <row r="241">
      <c r="A241" t="inlineStr">
        <is>
          <t>Kadir, Hamdi</t>
        </is>
      </c>
      <c r="B241" s="3" t="n">
        <v>46013</v>
      </c>
      <c r="C241" t="inlineStr">
        <is>
          <t>12:00pm - 05:30pm</t>
        </is>
      </c>
      <c r="I241" t="inlineStr">
        <is>
          <t>1/1 
97153</t>
        </is>
      </c>
      <c r="K241" t="inlineStr">
        <is>
          <t>Mohamed, Samsam</t>
        </is>
      </c>
    </row>
    <row r="242">
      <c r="A242" t="inlineStr">
        <is>
          <t>Abdi, Samira</t>
        </is>
      </c>
      <c r="B242" s="3" t="n">
        <v>46013</v>
      </c>
      <c r="C242" t="inlineStr">
        <is>
          <t>12:00pm - 08:00pm</t>
        </is>
      </c>
      <c r="I242" t="inlineStr">
        <is>
          <t>1/1 
97153</t>
        </is>
      </c>
      <c r="K242" t="inlineStr">
        <is>
          <t>Ali, Naima</t>
        </is>
      </c>
    </row>
    <row r="243">
      <c r="A243" t="inlineStr">
        <is>
          <t>Abdulkadir, Nadra</t>
        </is>
      </c>
      <c r="B243" s="3" t="n">
        <v>46013</v>
      </c>
      <c r="C243" t="inlineStr">
        <is>
          <t>12:00pm - 03:00pm</t>
        </is>
      </c>
      <c r="I243" t="inlineStr">
        <is>
          <t>O&amp;D 
97155</t>
        </is>
      </c>
      <c r="K243" t="inlineStr">
        <is>
          <t>mohamed, Madar</t>
        </is>
      </c>
    </row>
    <row r="244">
      <c r="A244" t="inlineStr">
        <is>
          <t>Yusuf, Khadija</t>
        </is>
      </c>
      <c r="B244" s="3" t="n">
        <v>46013</v>
      </c>
      <c r="C244" t="inlineStr">
        <is>
          <t>01:00pm - 06:00pm</t>
        </is>
      </c>
      <c r="I244" t="inlineStr">
        <is>
          <t>1/1 
97153</t>
        </is>
      </c>
      <c r="K244" t="inlineStr">
        <is>
          <t>Muse, Ayni</t>
        </is>
      </c>
    </row>
    <row r="245">
      <c r="A245" t="inlineStr">
        <is>
          <t>Abdi, Safia</t>
        </is>
      </c>
      <c r="B245" s="3" t="n">
        <v>46013</v>
      </c>
      <c r="C245" t="inlineStr">
        <is>
          <t>02:00pm - 08:00pm</t>
        </is>
      </c>
      <c r="I245" t="inlineStr">
        <is>
          <t>1/1 
97153</t>
        </is>
      </c>
      <c r="K245" t="inlineStr">
        <is>
          <t>Muse, Nawaal</t>
        </is>
      </c>
    </row>
    <row r="246">
      <c r="A246" t="inlineStr">
        <is>
          <t>Abdi, Safia</t>
        </is>
      </c>
      <c r="B246" s="3" t="n">
        <v>46013</v>
      </c>
      <c r="C246" t="inlineStr">
        <is>
          <t>02:00pm - 04:00pm</t>
        </is>
      </c>
      <c r="I246" t="inlineStr">
        <is>
          <t>O&amp;D 
97155</t>
        </is>
      </c>
      <c r="K246" t="inlineStr">
        <is>
          <t>Ibrahim, Ahmed</t>
        </is>
      </c>
    </row>
    <row r="247">
      <c r="A247" t="inlineStr">
        <is>
          <t>Abdi, Ahmed</t>
        </is>
      </c>
      <c r="B247" s="3" t="n">
        <v>46013</v>
      </c>
      <c r="C247" t="inlineStr">
        <is>
          <t>03:00pm - 08:00pm</t>
        </is>
      </c>
      <c r="I247" t="inlineStr">
        <is>
          <t>1/1 
97153</t>
        </is>
      </c>
      <c r="K247" t="inlineStr">
        <is>
          <t>Barqab, Mushtaq</t>
        </is>
      </c>
    </row>
    <row r="248">
      <c r="A248" t="inlineStr">
        <is>
          <t>Abdi, Mohamed</t>
        </is>
      </c>
      <c r="B248" s="3" t="n">
        <v>46013</v>
      </c>
      <c r="C248" t="inlineStr">
        <is>
          <t>03:00pm - 08:00pm</t>
        </is>
      </c>
      <c r="I248" t="inlineStr">
        <is>
          <t>1/1 
97153</t>
        </is>
      </c>
      <c r="K248" t="inlineStr">
        <is>
          <t>Mohamed, Mohamed</t>
        </is>
      </c>
    </row>
    <row r="249">
      <c r="A249" t="inlineStr">
        <is>
          <t>Abdi, Salman</t>
        </is>
      </c>
      <c r="B249" s="3" t="n">
        <v>46013</v>
      </c>
      <c r="C249" t="inlineStr">
        <is>
          <t>03:00pm - 06:00pm</t>
        </is>
      </c>
      <c r="I249" t="inlineStr">
        <is>
          <t>O&amp;D 
97155</t>
        </is>
      </c>
      <c r="K249" t="inlineStr">
        <is>
          <t>mohamed, Madar</t>
        </is>
      </c>
    </row>
    <row r="250">
      <c r="A250" t="inlineStr">
        <is>
          <t>Abdi, Ahmed</t>
        </is>
      </c>
      <c r="B250" s="3" t="n">
        <v>46013</v>
      </c>
      <c r="C250" t="inlineStr">
        <is>
          <t>04:00pm - 07:00pm</t>
        </is>
      </c>
      <c r="I250" t="inlineStr">
        <is>
          <t>O&amp;D 
97155</t>
        </is>
      </c>
      <c r="K250" t="inlineStr">
        <is>
          <t>Ibrahim, Ahmed</t>
        </is>
      </c>
    </row>
    <row r="251">
      <c r="A251" t="inlineStr">
        <is>
          <t>Kadir, Hamdi</t>
        </is>
      </c>
      <c r="B251" s="3" t="n">
        <v>46013</v>
      </c>
      <c r="C251" t="inlineStr">
        <is>
          <t>05:30pm - 08:00pm</t>
        </is>
      </c>
      <c r="I251" t="inlineStr">
        <is>
          <t>1/1 
97153</t>
        </is>
      </c>
      <c r="K251" t="inlineStr">
        <is>
          <t>Ran, Sameya</t>
        </is>
      </c>
    </row>
    <row r="252">
      <c r="A252" t="inlineStr">
        <is>
          <t>Abdi, Mohamed</t>
        </is>
      </c>
      <c r="B252" s="3" t="n">
        <v>46013</v>
      </c>
      <c r="C252" t="inlineStr">
        <is>
          <t>07:00pm - 08:00pm</t>
        </is>
      </c>
      <c r="I252" t="inlineStr">
        <is>
          <t>O&amp;D 
97155</t>
        </is>
      </c>
      <c r="K252" t="inlineStr">
        <is>
          <t>Ibrahim, Ahmed</t>
        </is>
      </c>
    </row>
    <row r="253">
      <c r="A253" t="inlineStr">
        <is>
          <t>Mohamed, Sumaya</t>
        </is>
      </c>
      <c r="B253" s="3" t="n">
        <v>46014</v>
      </c>
      <c r="C253" t="inlineStr">
        <is>
          <t>09:00am - 05:00pm</t>
        </is>
      </c>
      <c r="I253" t="inlineStr">
        <is>
          <t>1/1 
97153</t>
        </is>
      </c>
      <c r="K253" t="inlineStr">
        <is>
          <t>Ali, Amira</t>
        </is>
      </c>
    </row>
    <row r="254">
      <c r="A254" t="inlineStr">
        <is>
          <t>Kadir, Hamdi</t>
        </is>
      </c>
      <c r="B254" s="3" t="n">
        <v>46014</v>
      </c>
      <c r="C254" t="inlineStr">
        <is>
          <t>09:00am - 12:00pm</t>
        </is>
      </c>
      <c r="I254" t="inlineStr">
        <is>
          <t>1/1 
97153</t>
        </is>
      </c>
      <c r="K254" t="inlineStr">
        <is>
          <t>Muse, Nawaal</t>
        </is>
      </c>
    </row>
    <row r="255">
      <c r="A255" t="inlineStr">
        <is>
          <t>Jama, Khadija</t>
        </is>
      </c>
      <c r="B255" s="3" t="n">
        <v>46014</v>
      </c>
      <c r="C255" t="inlineStr">
        <is>
          <t>09:00am - 01:00pm</t>
        </is>
      </c>
      <c r="I255" t="inlineStr">
        <is>
          <t>1/1 
97153</t>
        </is>
      </c>
      <c r="K255" t="inlineStr">
        <is>
          <t>Barqab, Mushtaq</t>
        </is>
      </c>
    </row>
    <row r="256">
      <c r="A256" t="inlineStr">
        <is>
          <t>Sulub, Sharmake</t>
        </is>
      </c>
      <c r="B256" s="3" t="n">
        <v>46014</v>
      </c>
      <c r="C256" t="inlineStr">
        <is>
          <t>09:00am - 05:00pm</t>
        </is>
      </c>
      <c r="I256" t="inlineStr">
        <is>
          <t>1/1 
97153</t>
        </is>
      </c>
      <c r="K256" t="inlineStr">
        <is>
          <t>Mohamed, Mohamed</t>
        </is>
      </c>
    </row>
    <row r="257">
      <c r="A257" t="inlineStr">
        <is>
          <t>Kadir, Hamdi</t>
        </is>
      </c>
      <c r="B257" s="3" t="n">
        <v>46014</v>
      </c>
      <c r="C257" t="inlineStr">
        <is>
          <t>09:00am - 12:00pm</t>
        </is>
      </c>
      <c r="I257" t="inlineStr">
        <is>
          <t>O&amp;D 
97155</t>
        </is>
      </c>
      <c r="K257" t="inlineStr">
        <is>
          <t>Muse, Aaliya</t>
        </is>
      </c>
    </row>
    <row r="258">
      <c r="A258" t="inlineStr">
        <is>
          <t>Yusuf, Khadija</t>
        </is>
      </c>
      <c r="B258" s="3" t="n">
        <v>46014</v>
      </c>
      <c r="C258" t="inlineStr">
        <is>
          <t>10:00am - 12:30pm</t>
        </is>
      </c>
      <c r="I258" t="inlineStr">
        <is>
          <t>1/1 
97153</t>
        </is>
      </c>
      <c r="K258" t="inlineStr">
        <is>
          <t>Muse, Adna</t>
        </is>
      </c>
    </row>
    <row r="259">
      <c r="A259" t="inlineStr">
        <is>
          <t>Yusuf 2, Khadra</t>
        </is>
      </c>
      <c r="B259" s="3" t="n">
        <v>46014</v>
      </c>
      <c r="C259" t="inlineStr">
        <is>
          <t>10:00am - 12:00pm</t>
        </is>
      </c>
      <c r="I259" t="inlineStr">
        <is>
          <t>1/1 
97153</t>
        </is>
      </c>
      <c r="K259" t="inlineStr">
        <is>
          <t>Muse, Ayni</t>
        </is>
      </c>
    </row>
    <row r="260">
      <c r="A260" t="inlineStr">
        <is>
          <t>Abdullahi, Abdirahman</t>
        </is>
      </c>
      <c r="B260" s="3" t="n">
        <v>46014</v>
      </c>
      <c r="C260" t="inlineStr">
        <is>
          <t>10:00am - 06:00pm</t>
        </is>
      </c>
      <c r="I260" t="inlineStr">
        <is>
          <t>1/1 
97153</t>
        </is>
      </c>
      <c r="K260" t="inlineStr">
        <is>
          <t>Ali, Naima</t>
        </is>
      </c>
    </row>
    <row r="261">
      <c r="A261" t="inlineStr">
        <is>
          <t>Yusuf, Khadija</t>
        </is>
      </c>
      <c r="B261" s="3" t="n">
        <v>46014</v>
      </c>
      <c r="C261" t="inlineStr">
        <is>
          <t>10:00am - 12:30pm</t>
        </is>
      </c>
      <c r="I261" t="inlineStr">
        <is>
          <t>O&amp;D 
97155</t>
        </is>
      </c>
      <c r="K261" t="inlineStr">
        <is>
          <t>Noor, Kamilo</t>
        </is>
      </c>
    </row>
    <row r="262">
      <c r="A262" t="inlineStr">
        <is>
          <t>Abdi, Salman</t>
        </is>
      </c>
      <c r="B262" s="3" t="n">
        <v>46014</v>
      </c>
      <c r="C262" t="inlineStr">
        <is>
          <t>12:00pm - 04:00pm</t>
        </is>
      </c>
      <c r="I262" t="inlineStr">
        <is>
          <t>1/1 
97153</t>
        </is>
      </c>
      <c r="K262" t="inlineStr">
        <is>
          <t>Abdulle, Zamzam</t>
        </is>
      </c>
    </row>
    <row r="263">
      <c r="A263" t="inlineStr">
        <is>
          <t>Abdi, Safia</t>
        </is>
      </c>
      <c r="B263" s="3" t="n">
        <v>46014</v>
      </c>
      <c r="C263" t="inlineStr">
        <is>
          <t>12:00pm - 08:00pm</t>
        </is>
      </c>
      <c r="I263" t="inlineStr">
        <is>
          <t>1/1 
97153</t>
        </is>
      </c>
      <c r="K263" t="inlineStr">
        <is>
          <t>Mohamed, Samsam</t>
        </is>
      </c>
    </row>
    <row r="264">
      <c r="A264" t="inlineStr">
        <is>
          <t>Ali, Saami</t>
        </is>
      </c>
      <c r="B264" s="3" t="n">
        <v>46014</v>
      </c>
      <c r="C264" t="inlineStr">
        <is>
          <t>12:00pm - 08:00pm</t>
        </is>
      </c>
      <c r="I264" t="inlineStr">
        <is>
          <t>1/1 
97153</t>
        </is>
      </c>
      <c r="K264" t="inlineStr">
        <is>
          <t>Muse, Aaliya</t>
        </is>
      </c>
    </row>
    <row r="265">
      <c r="A265" t="inlineStr">
        <is>
          <t>Abdi, Samira</t>
        </is>
      </c>
      <c r="B265" s="3" t="n">
        <v>46014</v>
      </c>
      <c r="C265" t="inlineStr">
        <is>
          <t>12:00pm - 08:00pm</t>
        </is>
      </c>
      <c r="I265" t="inlineStr">
        <is>
          <t>1/1 
97153</t>
        </is>
      </c>
      <c r="K265" t="inlineStr">
        <is>
          <t>Ran, Sameya</t>
        </is>
      </c>
    </row>
    <row r="266">
      <c r="A266" t="inlineStr">
        <is>
          <t>Yusuf 2, Khadra</t>
        </is>
      </c>
      <c r="B266" s="3" t="n">
        <v>46014</v>
      </c>
      <c r="C266" t="inlineStr">
        <is>
          <t>12:00pm - 12:30pm</t>
        </is>
      </c>
      <c r="I266" t="inlineStr">
        <is>
          <t>1/1 
97153</t>
        </is>
      </c>
      <c r="K266" t="inlineStr">
        <is>
          <t>Ibrahim, Ahmed</t>
        </is>
      </c>
    </row>
    <row r="267">
      <c r="A267" t="inlineStr">
        <is>
          <t>Kadir, Hamdi</t>
        </is>
      </c>
      <c r="B267" s="3" t="n">
        <v>46014</v>
      </c>
      <c r="C267" t="inlineStr">
        <is>
          <t>12:00pm - 12:30pm</t>
        </is>
      </c>
      <c r="I267" t="inlineStr">
        <is>
          <t>1/1 
97153</t>
        </is>
      </c>
      <c r="K267" t="inlineStr">
        <is>
          <t>Muse, Aaliya</t>
        </is>
      </c>
    </row>
    <row r="268">
      <c r="A268" t="inlineStr">
        <is>
          <t>Yusuf, Khadija</t>
        </is>
      </c>
      <c r="B268" s="3" t="n">
        <v>46014</v>
      </c>
      <c r="C268" t="inlineStr">
        <is>
          <t>12:30pm - 01:00pm</t>
        </is>
      </c>
      <c r="I268" t="inlineStr">
        <is>
          <t>1/1 
97153</t>
        </is>
      </c>
      <c r="K268" t="inlineStr">
        <is>
          <t>Noor, Kamilo</t>
        </is>
      </c>
    </row>
    <row r="269">
      <c r="A269" t="inlineStr">
        <is>
          <t>Yusuf 2, Khadra</t>
        </is>
      </c>
      <c r="B269" s="3" t="n">
        <v>46014</v>
      </c>
      <c r="C269" t="inlineStr">
        <is>
          <t>12:30pm - 06:00pm</t>
        </is>
      </c>
      <c r="I269" t="inlineStr">
        <is>
          <t>1/1 
97153</t>
        </is>
      </c>
      <c r="K269" t="inlineStr">
        <is>
          <t>Muse, Ayni</t>
        </is>
      </c>
    </row>
    <row r="270">
      <c r="A270" t="inlineStr">
        <is>
          <t>Kadir, Hamdi</t>
        </is>
      </c>
      <c r="B270" s="3" t="n">
        <v>46014</v>
      </c>
      <c r="C270" t="inlineStr">
        <is>
          <t>12:30pm - 05:00pm</t>
        </is>
      </c>
      <c r="I270" t="inlineStr">
        <is>
          <t>1/1 
97153</t>
        </is>
      </c>
      <c r="K270" t="inlineStr">
        <is>
          <t>Muse, Nawaal</t>
        </is>
      </c>
    </row>
    <row r="271">
      <c r="A271" t="inlineStr">
        <is>
          <t>Jama, Khadija</t>
        </is>
      </c>
      <c r="B271" s="3" t="n">
        <v>46014</v>
      </c>
      <c r="C271" t="inlineStr">
        <is>
          <t>01:00pm - 01:30pm</t>
        </is>
      </c>
      <c r="I271" t="inlineStr">
        <is>
          <t>1/1 
97153</t>
        </is>
      </c>
      <c r="K271" t="inlineStr">
        <is>
          <t>Noor, Kamilo</t>
        </is>
      </c>
    </row>
    <row r="272">
      <c r="A272" t="inlineStr">
        <is>
          <t>Yusuf, Khadija</t>
        </is>
      </c>
      <c r="B272" s="3" t="n">
        <v>46014</v>
      </c>
      <c r="C272" t="inlineStr">
        <is>
          <t>01:00pm - 06:00pm</t>
        </is>
      </c>
      <c r="I272" t="inlineStr">
        <is>
          <t>1/1 
97153</t>
        </is>
      </c>
      <c r="K272" t="inlineStr">
        <is>
          <t>Muse, Adna</t>
        </is>
      </c>
    </row>
    <row r="273">
      <c r="A273" t="inlineStr">
        <is>
          <t>Abdullahi, Abdirahman</t>
        </is>
      </c>
      <c r="B273" s="3" t="n">
        <v>46014</v>
      </c>
      <c r="C273" t="inlineStr">
        <is>
          <t>01:00pm - 01:30pm</t>
        </is>
      </c>
      <c r="I273" t="inlineStr">
        <is>
          <t>1/1 
97153</t>
        </is>
      </c>
      <c r="K273" t="inlineStr">
        <is>
          <t>Ibrahim, Ahmed</t>
        </is>
      </c>
    </row>
    <row r="274">
      <c r="A274" t="inlineStr">
        <is>
          <t>Abdulkadir, Nadra</t>
        </is>
      </c>
      <c r="B274" s="3" t="n">
        <v>46014</v>
      </c>
      <c r="C274" t="inlineStr">
        <is>
          <t>01:30pm - 06:30pm</t>
        </is>
      </c>
      <c r="I274" t="inlineStr">
        <is>
          <t>1/1 
97153</t>
        </is>
      </c>
      <c r="K274" t="inlineStr">
        <is>
          <t>Hashi, Ridwan</t>
        </is>
      </c>
    </row>
    <row r="275">
      <c r="A275" t="inlineStr">
        <is>
          <t>Abdulkadir, Nadra</t>
        </is>
      </c>
      <c r="B275" s="3" t="n">
        <v>46014</v>
      </c>
      <c r="C275" t="inlineStr">
        <is>
          <t>01:30pm - 04:30pm</t>
        </is>
      </c>
      <c r="I275" t="inlineStr">
        <is>
          <t>O&amp;D 
97155</t>
        </is>
      </c>
      <c r="K275" t="inlineStr">
        <is>
          <t>mohamed, Madar</t>
        </is>
      </c>
    </row>
    <row r="276">
      <c r="A276" t="inlineStr">
        <is>
          <t>Abdullahi, Abdirahman</t>
        </is>
      </c>
      <c r="B276" s="3" t="n">
        <v>46014</v>
      </c>
      <c r="C276" t="inlineStr">
        <is>
          <t>01:30pm - 03:00pm</t>
        </is>
      </c>
      <c r="I276" t="inlineStr">
        <is>
          <t>1/1 
97153</t>
        </is>
      </c>
      <c r="K276" t="inlineStr">
        <is>
          <t>Ibrahim, Ahmed</t>
        </is>
      </c>
    </row>
    <row r="277">
      <c r="A277" t="inlineStr">
        <is>
          <t>Jama, Khadija</t>
        </is>
      </c>
      <c r="B277" s="3" t="n">
        <v>46014</v>
      </c>
      <c r="C277" t="inlineStr">
        <is>
          <t>01:30pm - 05:00pm</t>
        </is>
      </c>
      <c r="I277" t="inlineStr">
        <is>
          <t>1/1 
97153</t>
        </is>
      </c>
      <c r="K277" t="inlineStr">
        <is>
          <t>Barqab, Mushtaq</t>
        </is>
      </c>
    </row>
    <row r="278">
      <c r="A278" t="inlineStr">
        <is>
          <t>Abdi, Mohamed</t>
        </is>
      </c>
      <c r="B278" s="3" t="n">
        <v>46014</v>
      </c>
      <c r="C278" t="inlineStr">
        <is>
          <t>03:00pm - 08:00pm</t>
        </is>
      </c>
      <c r="I278" t="inlineStr">
        <is>
          <t>1/1 
97153</t>
        </is>
      </c>
      <c r="K278" t="inlineStr">
        <is>
          <t>Omar, Mohamed</t>
        </is>
      </c>
    </row>
    <row r="279">
      <c r="A279" t="inlineStr">
        <is>
          <t>Abdi, Ahmed</t>
        </is>
      </c>
      <c r="B279" s="3" t="n">
        <v>46014</v>
      </c>
      <c r="C279" t="inlineStr">
        <is>
          <t>03:30pm - 08:00pm</t>
        </is>
      </c>
      <c r="I279" t="inlineStr">
        <is>
          <t>1/1 
97153</t>
        </is>
      </c>
      <c r="K279" t="inlineStr">
        <is>
          <t>Ibrahim, Ahmed</t>
        </is>
      </c>
    </row>
    <row r="280">
      <c r="A280" t="inlineStr">
        <is>
          <t>Abdi, Safia</t>
        </is>
      </c>
      <c r="B280" s="3" t="n">
        <v>46014</v>
      </c>
      <c r="C280" t="inlineStr">
        <is>
          <t>04:30pm - 06:30pm</t>
        </is>
      </c>
      <c r="I280" t="inlineStr">
        <is>
          <t>O&amp;D 
97155</t>
        </is>
      </c>
      <c r="K280" t="inlineStr">
        <is>
          <t>mohamed, Madar</t>
        </is>
      </c>
    </row>
    <row r="281">
      <c r="A281" t="inlineStr">
        <is>
          <t>Abdi, Ahmed</t>
        </is>
      </c>
      <c r="B281" s="3" t="n">
        <v>46014</v>
      </c>
      <c r="C281" t="inlineStr">
        <is>
          <t>06:00pm - 08:00pm</t>
        </is>
      </c>
      <c r="I281" t="inlineStr">
        <is>
          <t>O&amp;D 
97155</t>
        </is>
      </c>
      <c r="K281" t="inlineStr">
        <is>
          <t>Muse, Adna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Service Date</t>
        </is>
      </c>
      <c r="C1" s="1" t="inlineStr">
        <is>
          <t>Session Time</t>
        </is>
      </c>
      <c r="D1" s="1" t="inlineStr">
        <is>
          <t>Session Duration</t>
        </is>
      </c>
      <c r="E1" s="1" t="inlineStr">
        <is>
          <t>Hours</t>
        </is>
      </c>
      <c r="F1" s="1" t="inlineStr">
        <is>
          <t>Pay</t>
        </is>
      </c>
      <c r="G1" s="1" t="inlineStr">
        <is>
          <t>Units</t>
        </is>
      </c>
      <c r="H1" s="1" t="inlineStr">
        <is>
          <t>FNF</t>
        </is>
      </c>
      <c r="I1" s="1" t="inlineStr">
        <is>
          <t>Code</t>
        </is>
      </c>
      <c r="J1" s="1" t="inlineStr">
        <is>
          <t>Charged Amount</t>
        </is>
      </c>
      <c r="K1" s="1" t="inlineStr">
        <is>
          <t>User</t>
        </is>
      </c>
      <c r="L1" s="1" t="inlineStr">
        <is>
          <t>Level</t>
        </is>
      </c>
      <c r="M1" s="1" t="inlineStr">
        <is>
          <t>Note</t>
        </is>
      </c>
      <c r="N1" s="1" t="inlineStr">
        <is>
          <t>Unbilled notes</t>
        </is>
      </c>
      <c r="O1" s="1" t="inlineStr">
        <is>
          <t>Expiration Date</t>
        </is>
      </c>
    </row>
    <row r="2">
      <c r="A2" t="inlineStr">
        <is>
          <t>Abdi, Ahmed</t>
        </is>
      </c>
      <c r="B2" s="3" t="n">
        <v>46014</v>
      </c>
      <c r="C2" t="inlineStr">
        <is>
          <t>06:00 PM - 08:00 PM</t>
        </is>
      </c>
      <c r="D2" t="inlineStr">
        <is>
          <t>02:00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J2">
        <f>IF(L2="Level 1", VLOOKUP(I2, UserCodes!E:F, 2, FALSE) * H2, IF(L2="Level 2", VLOOKUP(I2, UserCodes!E:F, 2, FALSE) * H2 * 0.8, 0))</f>
        <v/>
      </c>
      <c r="K2" t="inlineStr">
        <is>
          <t>Muse, Adna</t>
        </is>
      </c>
      <c r="L2">
        <f>VLOOKUP(K2, UserCodes!A:B, 2, FALSE)</f>
        <v/>
      </c>
    </row>
    <row r="3">
      <c r="A3" t="inlineStr">
        <is>
          <t>Abdi, Ahmed</t>
        </is>
      </c>
      <c r="B3" s="3" t="n">
        <v>46013</v>
      </c>
      <c r="C3" t="inlineStr">
        <is>
          <t>03:00 PM - 08:00 PM</t>
        </is>
      </c>
      <c r="D3" t="inlineStr">
        <is>
          <t>05:00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J3">
        <f>IF(L3="Level 1", VLOOKUP(I3, UserCodes!E:F, 2, FALSE) * H3, IF(L3="Level 2", VLOOKUP(I3, UserCodes!E:F, 2, FALSE) * H3 * 0.8, 0))</f>
        <v/>
      </c>
      <c r="K3" t="inlineStr">
        <is>
          <t>Barqab, Mushtaq</t>
        </is>
      </c>
      <c r="L3">
        <f>VLOOKUP(K3, UserCodes!A:B, 2, FALSE)</f>
        <v/>
      </c>
    </row>
    <row r="4">
      <c r="A4" t="inlineStr">
        <is>
          <t>Abdi, Ahmed</t>
        </is>
      </c>
      <c r="B4" s="3" t="n">
        <v>46011</v>
      </c>
      <c r="C4" t="inlineStr">
        <is>
          <t>02:32 PM - 06:00 PM</t>
        </is>
      </c>
      <c r="D4" t="inlineStr">
        <is>
          <t>03:28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J4">
        <f>IF(L4="Level 1", VLOOKUP(I4, UserCodes!E:F, 2, FALSE) * H4, IF(L4="Level 2", VLOOKUP(I4, UserCodes!E:F, 2, FALSE) * H4 * 0.8, 0))</f>
        <v/>
      </c>
      <c r="K4" t="inlineStr">
        <is>
          <t>Omar, Mohamed</t>
        </is>
      </c>
      <c r="L4">
        <f>VLOOKUP(K4, UserCodes!A:B, 2, FALSE)</f>
        <v/>
      </c>
    </row>
    <row r="5">
      <c r="A5" t="inlineStr">
        <is>
          <t>Abdi, Ahmed</t>
        </is>
      </c>
      <c r="B5" s="3" t="n">
        <v>46011</v>
      </c>
      <c r="C5" t="inlineStr">
        <is>
          <t>10:00 AM - 02:02 PM</t>
        </is>
      </c>
      <c r="D5" t="inlineStr">
        <is>
          <t>04:02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J5">
        <f>IF(L5="Level 1", VLOOKUP(I5, UserCodes!E:F, 2, FALSE) * H5, IF(L5="Level 2", VLOOKUP(I5, UserCodes!E:F, 2, FALSE) * H5 * 0.8, 0))</f>
        <v/>
      </c>
      <c r="K5" t="inlineStr">
        <is>
          <t>Omar, Mohamed</t>
        </is>
      </c>
      <c r="L5">
        <f>VLOOKUP(K5, UserCodes!A:B, 2, FALSE)</f>
        <v/>
      </c>
    </row>
    <row r="6">
      <c r="A6" t="inlineStr">
        <is>
          <t>Abdi, Ahmed</t>
        </is>
      </c>
      <c r="B6" s="3" t="n">
        <v>46010</v>
      </c>
      <c r="C6" t="inlineStr">
        <is>
          <t>03:00 PM - 08:00 PM</t>
        </is>
      </c>
      <c r="D6" t="inlineStr">
        <is>
          <t>05:00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J6">
        <f>IF(L6="Level 1", VLOOKUP(I6, UserCodes!E:F, 2, FALSE) * H6, IF(L6="Level 2", VLOOKUP(I6, UserCodes!E:F, 2, FALSE) * H6 * 0.8, 0))</f>
        <v/>
      </c>
      <c r="K6" t="inlineStr">
        <is>
          <t>Ibrahim, Ahmed</t>
        </is>
      </c>
      <c r="L6">
        <f>VLOOKUP(K6, UserCodes!A:B, 2, FALSE)</f>
        <v/>
      </c>
    </row>
    <row r="7">
      <c r="A7" t="inlineStr">
        <is>
          <t>Abdi, Ahmed</t>
        </is>
      </c>
      <c r="B7" s="3" t="n">
        <v>46009</v>
      </c>
      <c r="C7" t="inlineStr">
        <is>
          <t>03:00 PM - 08:00 PM</t>
        </is>
      </c>
      <c r="D7" t="inlineStr">
        <is>
          <t>05:00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J7">
        <f>IF(L7="Level 1", VLOOKUP(I7, UserCodes!E:F, 2, FALSE) * H7, IF(L7="Level 2", VLOOKUP(I7, UserCodes!E:F, 2, FALSE) * H7 * 0.8, 0))</f>
        <v/>
      </c>
      <c r="K7" t="inlineStr">
        <is>
          <t>Ibrahim, Ahmed</t>
        </is>
      </c>
      <c r="L7">
        <f>VLOOKUP(K7, UserCodes!A:B, 2, FALSE)</f>
        <v/>
      </c>
    </row>
    <row r="8">
      <c r="A8" t="inlineStr">
        <is>
          <t>Abdi, Ahmed</t>
        </is>
      </c>
      <c r="B8" s="3" t="n">
        <v>46009</v>
      </c>
      <c r="C8" t="inlineStr">
        <is>
          <t>03:00 PM - 06:00 PM</t>
        </is>
      </c>
      <c r="D8" t="inlineStr">
        <is>
          <t>03:00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J8">
        <f>IF(L8="Level 1", VLOOKUP(I8, UserCodes!E:F, 2, FALSE) * H8, IF(L8="Level 2", VLOOKUP(I8, UserCodes!E:F, 2, FALSE) * H8 * 0.8, 0))</f>
        <v/>
      </c>
      <c r="K8" t="inlineStr">
        <is>
          <t>Muse, Adna</t>
        </is>
      </c>
      <c r="L8">
        <f>VLOOKUP(K8, UserCodes!A:B, 2, FALSE)</f>
        <v/>
      </c>
    </row>
    <row r="9">
      <c r="A9" t="inlineStr">
        <is>
          <t>Abdi, Ahmed</t>
        </is>
      </c>
      <c r="B9" s="3" t="n">
        <v>46008</v>
      </c>
      <c r="C9" t="inlineStr">
        <is>
          <t>05:00 PM - 08:00 PM</t>
        </is>
      </c>
      <c r="D9" t="inlineStr">
        <is>
          <t>03:00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J9">
        <f>IF(L9="Level 1", VLOOKUP(I9, UserCodes!E:F, 2, FALSE) * H9, IF(L9="Level 2", VLOOKUP(I9, UserCodes!E:F, 2, FALSE) * H9 * 0.8, 0))</f>
        <v/>
      </c>
      <c r="K9" t="inlineStr">
        <is>
          <t>Muse, Adna</t>
        </is>
      </c>
      <c r="L9">
        <f>VLOOKUP(K9, UserCodes!A:B, 2, FALSE)</f>
        <v/>
      </c>
    </row>
    <row r="10">
      <c r="A10" t="inlineStr">
        <is>
          <t>Abdi, Ahmed</t>
        </is>
      </c>
      <c r="B10" s="3" t="n">
        <v>46008</v>
      </c>
      <c r="C10" t="inlineStr">
        <is>
          <t>03:00 PM - 08:00 PM</t>
        </is>
      </c>
      <c r="D10" t="inlineStr">
        <is>
          <t>05:00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J10">
        <f>IF(L10="Level 1", VLOOKUP(I10, UserCodes!E:F, 2, FALSE) * H10, IF(L10="Level 2", VLOOKUP(I10, UserCodes!E:F, 2, FALSE) * H10 * 0.8, 0))</f>
        <v/>
      </c>
      <c r="K10" t="inlineStr">
        <is>
          <t>Ibrahim, Ahmed</t>
        </is>
      </c>
      <c r="L10">
        <f>VLOOKUP(K10, UserCodes!A:B, 2, FALSE)</f>
        <v/>
      </c>
    </row>
    <row r="11">
      <c r="A11" t="inlineStr">
        <is>
          <t>Abdi, Ahmed</t>
        </is>
      </c>
      <c r="B11" s="3" t="n">
        <v>46007</v>
      </c>
      <c r="C11" t="inlineStr">
        <is>
          <t>06:00 PM - 08:00 PM</t>
        </is>
      </c>
      <c r="D11" t="inlineStr">
        <is>
          <t>02:00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J11">
        <f>IF(L11="Level 1", VLOOKUP(I11, UserCodes!E:F, 2, FALSE) * H11, IF(L11="Level 2", VLOOKUP(I11, UserCodes!E:F, 2, FALSE) * H11 * 0.8, 0))</f>
        <v/>
      </c>
      <c r="K11" t="inlineStr">
        <is>
          <t>Muse, Adna</t>
        </is>
      </c>
      <c r="L11">
        <f>VLOOKUP(K11, UserCodes!A:B, 2, FALSE)</f>
        <v/>
      </c>
    </row>
    <row r="12">
      <c r="A12" t="inlineStr">
        <is>
          <t>Abdi, Ahmed</t>
        </is>
      </c>
      <c r="B12" s="3" t="n">
        <v>46007</v>
      </c>
      <c r="C12" t="inlineStr">
        <is>
          <t>02:15 PM - 08:00 PM</t>
        </is>
      </c>
      <c r="D12" t="inlineStr">
        <is>
          <t>05:45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J12">
        <f>IF(L12="Level 1", VLOOKUP(I12, UserCodes!E:F, 2, FALSE) * H12, IF(L12="Level 2", VLOOKUP(I12, UserCodes!E:F, 2, FALSE) * H12 * 0.8, 0))</f>
        <v/>
      </c>
      <c r="K12" t="inlineStr">
        <is>
          <t>Mohamed, Samsam</t>
        </is>
      </c>
      <c r="L12">
        <f>VLOOKUP(K12, UserCodes!A:B, 2, FALSE)</f>
        <v/>
      </c>
    </row>
    <row r="13">
      <c r="A13" t="inlineStr">
        <is>
          <t>Abdi, Ahmed</t>
        </is>
      </c>
      <c r="B13" s="3" t="n">
        <v>46006</v>
      </c>
      <c r="C13" t="inlineStr">
        <is>
          <t>03:00 PM - 06:00 PM</t>
        </is>
      </c>
      <c r="D13" t="inlineStr">
        <is>
          <t>03:00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J13">
        <f>IF(L13="Level 1", VLOOKUP(I13, UserCodes!E:F, 2, FALSE) * H13, IF(L13="Level 2", VLOOKUP(I13, UserCodes!E:F, 2, FALSE) * H13 * 0.8, 0))</f>
        <v/>
      </c>
      <c r="K13" t="inlineStr">
        <is>
          <t>Mohamed, Madar</t>
        </is>
      </c>
      <c r="L13">
        <f>VLOOKUP(K13, UserCodes!A:B, 2, FALSE)</f>
        <v/>
      </c>
    </row>
    <row r="14">
      <c r="A14" t="inlineStr">
        <is>
          <t>Abdi, Ahmed</t>
        </is>
      </c>
      <c r="B14" s="3" t="n">
        <v>46006</v>
      </c>
      <c r="C14" t="inlineStr">
        <is>
          <t>02:50 PM - 08:00 PM</t>
        </is>
      </c>
      <c r="D14" t="inlineStr">
        <is>
          <t>05:10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J14">
        <f>IF(L14="Level 1", VLOOKUP(I14, UserCodes!E:F, 2, FALSE) * H14, IF(L14="Level 2", VLOOKUP(I14, UserCodes!E:F, 2, FALSE) * H14 * 0.8, 0))</f>
        <v/>
      </c>
      <c r="K14" t="inlineStr">
        <is>
          <t>Ibrahim, Ahmed</t>
        </is>
      </c>
      <c r="L14">
        <f>VLOOKUP(K14, UserCodes!A:B, 2, FALSE)</f>
        <v/>
      </c>
    </row>
    <row r="15">
      <c r="A15" t="inlineStr">
        <is>
          <t>Abdi, Ahmed</t>
        </is>
      </c>
      <c r="B15" s="3" t="n">
        <v>46004</v>
      </c>
      <c r="C15" t="inlineStr">
        <is>
          <t>04:02 PM - 06:00 PM</t>
        </is>
      </c>
      <c r="D15" t="inlineStr">
        <is>
          <t>01:58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J15">
        <f>IF(L15="Level 1", VLOOKUP(I15, UserCodes!E:F, 2, FALSE) * H15, IF(L15="Level 2", VLOOKUP(I15, UserCodes!E:F, 2, FALSE) * H15 * 0.8, 0))</f>
        <v/>
      </c>
      <c r="K15" t="inlineStr">
        <is>
          <t>Omar, Mohamed</t>
        </is>
      </c>
      <c r="L15">
        <f>VLOOKUP(K15, UserCodes!A:B, 2, FALSE)</f>
        <v/>
      </c>
    </row>
    <row r="16">
      <c r="A16" t="inlineStr">
        <is>
          <t>Abdi, Ahmed</t>
        </is>
      </c>
      <c r="B16" s="3" t="n">
        <v>46004</v>
      </c>
      <c r="C16" t="inlineStr">
        <is>
          <t>01:00 PM - 04:00 PM</t>
        </is>
      </c>
      <c r="D16" t="inlineStr">
        <is>
          <t>03:00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J16">
        <f>IF(L16="Level 1", VLOOKUP(I16, UserCodes!E:F, 2, FALSE) * H16, IF(L16="Level 2", VLOOKUP(I16, UserCodes!E:F, 2, FALSE) * H16 * 0.8, 0))</f>
        <v/>
      </c>
      <c r="K16" t="inlineStr">
        <is>
          <t>Muse, Adna</t>
        </is>
      </c>
      <c r="L16">
        <f>VLOOKUP(K16, UserCodes!A:B, 2, FALSE)</f>
        <v/>
      </c>
    </row>
    <row r="17">
      <c r="A17" t="inlineStr">
        <is>
          <t>Abdi, Ahmed</t>
        </is>
      </c>
      <c r="B17" s="3" t="n">
        <v>46004</v>
      </c>
      <c r="C17" t="inlineStr">
        <is>
          <t>10:00 AM - 03:32 PM</t>
        </is>
      </c>
      <c r="D17" t="inlineStr">
        <is>
          <t>05:32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J17">
        <f>IF(L17="Level 1", VLOOKUP(I17, UserCodes!E:F, 2, FALSE) * H17, IF(L17="Level 2", VLOOKUP(I17, UserCodes!E:F, 2, FALSE) * H17 * 0.8, 0))</f>
        <v/>
      </c>
      <c r="K17" t="inlineStr">
        <is>
          <t>Omar, Mohamed</t>
        </is>
      </c>
      <c r="L17">
        <f>VLOOKUP(K17, UserCodes!A:B, 2, FALSE)</f>
        <v/>
      </c>
    </row>
    <row r="18">
      <c r="A18" t="inlineStr">
        <is>
          <t>Abdi, Ahmed</t>
        </is>
      </c>
      <c r="B18" s="3" t="n">
        <v>46003</v>
      </c>
      <c r="C18" t="inlineStr">
        <is>
          <t>06:00 PM - 08:00 PM</t>
        </is>
      </c>
      <c r="D18" t="inlineStr">
        <is>
          <t>02:00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J18">
        <f>IF(L18="Level 1", VLOOKUP(I18, UserCodes!E:F, 2, FALSE) * H18, IF(L18="Level 2", VLOOKUP(I18, UserCodes!E:F, 2, FALSE) * H18 * 0.8, 0))</f>
        <v/>
      </c>
      <c r="K18" t="inlineStr">
        <is>
          <t>Hashi, Ridwan</t>
        </is>
      </c>
      <c r="L18">
        <f>VLOOKUP(K18, UserCodes!A:B, 2, FALSE)</f>
        <v/>
      </c>
    </row>
    <row r="19">
      <c r="A19" t="inlineStr">
        <is>
          <t>Abdi, Ahmed</t>
        </is>
      </c>
      <c r="B19" s="3" t="n">
        <v>46003</v>
      </c>
      <c r="C19" t="inlineStr">
        <is>
          <t>06:00 PM - 08:00 PM</t>
        </is>
      </c>
      <c r="D19" t="inlineStr">
        <is>
          <t>02:00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J19">
        <f>IF(L19="Level 1", VLOOKUP(I19, UserCodes!E:F, 2, FALSE) * H19, IF(L19="Level 2", VLOOKUP(I19, UserCodes!E:F, 2, FALSE) * H19 * 0.8, 0))</f>
        <v/>
      </c>
      <c r="K19" t="inlineStr">
        <is>
          <t>Ibrahim, Ahmed</t>
        </is>
      </c>
      <c r="L19">
        <f>VLOOKUP(K19, UserCodes!A:B, 2, FALSE)</f>
        <v/>
      </c>
    </row>
    <row r="20">
      <c r="A20" t="inlineStr">
        <is>
          <t>Abdi, Ahmed</t>
        </is>
      </c>
      <c r="B20" s="3" t="n">
        <v>46003</v>
      </c>
      <c r="C20" t="inlineStr">
        <is>
          <t>05:00 PM - 06:00 PM</t>
        </is>
      </c>
      <c r="D20" t="inlineStr">
        <is>
          <t>01:00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J20">
        <f>IF(L20="Level 1", VLOOKUP(I20, UserCodes!E:F, 2, FALSE) * H20, IF(L20="Level 2", VLOOKUP(I20, UserCodes!E:F, 2, FALSE) * H20 * 0.8, 0))</f>
        <v/>
      </c>
      <c r="K20" t="inlineStr">
        <is>
          <t>Ibrahim, Ahmed</t>
        </is>
      </c>
      <c r="L20">
        <f>VLOOKUP(K20, UserCodes!A:B, 2, FALSE)</f>
        <v/>
      </c>
    </row>
    <row r="21">
      <c r="A21" t="inlineStr">
        <is>
          <t>Abdi, Ahmed</t>
        </is>
      </c>
      <c r="B21" s="3" t="n">
        <v>46003</v>
      </c>
      <c r="C21" t="inlineStr">
        <is>
          <t>03:00 PM - 05:00 PM</t>
        </is>
      </c>
      <c r="D21" t="inlineStr">
        <is>
          <t>02:00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J21">
        <f>IF(L21="Level 1", VLOOKUP(I21, UserCodes!E:F, 2, FALSE) * H21, IF(L21="Level 2", VLOOKUP(I21, UserCodes!E:F, 2, FALSE) * H21 * 0.8, 0))</f>
        <v/>
      </c>
      <c r="K21" t="inlineStr">
        <is>
          <t>Hawadle, Abdiaziz</t>
        </is>
      </c>
      <c r="L21">
        <f>VLOOKUP(K21, UserCodes!A:B, 2, FALSE)</f>
        <v/>
      </c>
    </row>
    <row r="22">
      <c r="A22" t="inlineStr">
        <is>
          <t>Abdi, Mohamed</t>
        </is>
      </c>
      <c r="B22" s="3" t="n">
        <v>46014</v>
      </c>
      <c r="C22" t="inlineStr">
        <is>
          <t>03:00 PM - 08:00 PM</t>
        </is>
      </c>
      <c r="D22" t="inlineStr">
        <is>
          <t>05:00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J22">
        <f>IF(L22="Level 1", VLOOKUP(I22, UserCodes!E:F, 2, FALSE) * H22, IF(L22="Level 2", VLOOKUP(I22, UserCodes!E:F, 2, FALSE) * H22 * 0.8, 0))</f>
        <v/>
      </c>
      <c r="K22" t="inlineStr">
        <is>
          <t>Omar, Mohamed</t>
        </is>
      </c>
      <c r="L22">
        <f>VLOOKUP(K22, UserCodes!A:B, 2, FALSE)</f>
        <v/>
      </c>
    </row>
    <row r="23">
      <c r="A23" t="inlineStr">
        <is>
          <t>Abdi, Mohamed</t>
        </is>
      </c>
      <c r="B23" s="3" t="n">
        <v>46011</v>
      </c>
      <c r="C23" t="inlineStr">
        <is>
          <t>10:35 AM - 06:00 PM</t>
        </is>
      </c>
      <c r="D23" t="inlineStr">
        <is>
          <t>07:25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J23">
        <f>IF(L23="Level 1", VLOOKUP(I23, UserCodes!E:F, 2, FALSE) * H23, IF(L23="Level 2", VLOOKUP(I23, UserCodes!E:F, 2, FALSE) * H23 * 0.8, 0))</f>
        <v/>
      </c>
      <c r="K23" t="inlineStr">
        <is>
          <t>Mohamed, Samsam</t>
        </is>
      </c>
      <c r="L23">
        <f>VLOOKUP(K23, UserCodes!A:B, 2, FALSE)</f>
        <v/>
      </c>
    </row>
    <row r="24">
      <c r="A24" t="inlineStr">
        <is>
          <t>Abdi, Mohamed</t>
        </is>
      </c>
      <c r="B24" s="3" t="n">
        <v>46010</v>
      </c>
      <c r="C24" t="inlineStr">
        <is>
          <t>03:20 PM - 08:00 PM</t>
        </is>
      </c>
      <c r="D24" t="inlineStr">
        <is>
          <t>04:40</t>
        </is>
      </c>
      <c r="E24">
        <f>HOUR(D24)+MINUTE(D24)/100</f>
        <v/>
      </c>
      <c r="F24">
        <f>ROUND(INT(E24) + (E24 - INT(E24)) * 100 / 60, 2)</f>
        <v/>
      </c>
      <c r="G24">
        <f>E24*4</f>
        <v/>
      </c>
      <c r="H24">
        <f>LET(total, INT(E24)*60 + (E24-INT(E24))*100, blocks, QUOTIENT(total, 15), extra, MOD(total, 15), units, blocks + IF(extra&gt;=8, 1, 0), units)</f>
        <v/>
      </c>
      <c r="J24">
        <f>IF(L24="Level 1", VLOOKUP(I24, UserCodes!E:F, 2, FALSE) * H24, IF(L24="Level 2", VLOOKUP(I24, UserCodes!E:F, 2, FALSE) * H24 * 0.8, 0))</f>
        <v/>
      </c>
      <c r="K24" t="inlineStr">
        <is>
          <t>Mohamed, Samsam</t>
        </is>
      </c>
      <c r="L24">
        <f>VLOOKUP(K24, UserCodes!A:B, 2, FALSE)</f>
        <v/>
      </c>
    </row>
    <row r="25">
      <c r="A25" t="inlineStr">
        <is>
          <t>Abdi, Mohamed</t>
        </is>
      </c>
      <c r="B25" s="3" t="n">
        <v>46009</v>
      </c>
      <c r="C25" t="inlineStr">
        <is>
          <t>03:00 PM - 07:40 PM</t>
        </is>
      </c>
      <c r="D25" t="inlineStr">
        <is>
          <t>04:40</t>
        </is>
      </c>
      <c r="E25">
        <f>HOUR(D25)+MINUTE(D25)/100</f>
        <v/>
      </c>
      <c r="F25">
        <f>ROUND(INT(E25) + (E25 - INT(E25)) * 100 / 60, 2)</f>
        <v/>
      </c>
      <c r="G25">
        <f>E25*4</f>
        <v/>
      </c>
      <c r="H25">
        <f>LET(total, INT(E25)*60 + (E25-INT(E25))*100, blocks, QUOTIENT(total, 15), extra, MOD(total, 15), units, blocks + IF(extra&gt;=8, 1, 0), units)</f>
        <v/>
      </c>
      <c r="J25">
        <f>IF(L25="Level 1", VLOOKUP(I25, UserCodes!E:F, 2, FALSE) * H25, IF(L25="Level 2", VLOOKUP(I25, UserCodes!E:F, 2, FALSE) * H25 * 0.8, 0))</f>
        <v/>
      </c>
      <c r="K25" t="inlineStr">
        <is>
          <t>Osman, Basra</t>
        </is>
      </c>
      <c r="L25">
        <f>VLOOKUP(K25, UserCodes!A:B, 2, FALSE)</f>
        <v/>
      </c>
    </row>
    <row r="26">
      <c r="A26" t="inlineStr">
        <is>
          <t>Abdi, Mohamed</t>
        </is>
      </c>
      <c r="B26" s="3" t="n">
        <v>46008</v>
      </c>
      <c r="C26" t="inlineStr">
        <is>
          <t>06:00 PM - 08:00 PM</t>
        </is>
      </c>
      <c r="D26" t="inlineStr">
        <is>
          <t>02:00</t>
        </is>
      </c>
      <c r="E26">
        <f>HOUR(D26)+MINUTE(D26)/100</f>
        <v/>
      </c>
      <c r="F26">
        <f>ROUND(INT(E26) + (E26 - INT(E26)) * 100 / 60, 2)</f>
        <v/>
      </c>
      <c r="G26">
        <f>E26*4</f>
        <v/>
      </c>
      <c r="H26">
        <f>LET(total, INT(E26)*60 + (E26-INT(E26))*100, blocks, QUOTIENT(total, 15), extra, MOD(total, 15), units, blocks + IF(extra&gt;=8, 1, 0), units)</f>
        <v/>
      </c>
      <c r="J26">
        <f>IF(L26="Level 1", VLOOKUP(I26, UserCodes!E:F, 2, FALSE) * H26, IF(L26="Level 2", VLOOKUP(I26, UserCodes!E:F, 2, FALSE) * H26 * 0.8, 0))</f>
        <v/>
      </c>
      <c r="K26" t="inlineStr">
        <is>
          <t>Hashi, Ridwan</t>
        </is>
      </c>
      <c r="L26">
        <f>VLOOKUP(K26, UserCodes!A:B, 2, FALSE)</f>
        <v/>
      </c>
    </row>
    <row r="27">
      <c r="A27" t="inlineStr">
        <is>
          <t>Abdi, Mohamed</t>
        </is>
      </c>
      <c r="B27" s="3" t="n">
        <v>46008</v>
      </c>
      <c r="C27" t="inlineStr">
        <is>
          <t>03:00 PM - 08:00 PM</t>
        </is>
      </c>
      <c r="D27" t="inlineStr">
        <is>
          <t>05:00</t>
        </is>
      </c>
      <c r="E27">
        <f>HOUR(D27)+MINUTE(D27)/100</f>
        <v/>
      </c>
      <c r="F27">
        <f>ROUND(INT(E27) + (E27 - INT(E27)) * 100 / 60, 2)</f>
        <v/>
      </c>
      <c r="G27">
        <f>E27*4</f>
        <v/>
      </c>
      <c r="H27">
        <f>LET(total, INT(E27)*60 + (E27-INT(E27))*100, blocks, QUOTIENT(total, 15), extra, MOD(total, 15), units, blocks + IF(extra&gt;=8, 1, 0), units)</f>
        <v/>
      </c>
      <c r="J27">
        <f>IF(L27="Level 1", VLOOKUP(I27, UserCodes!E:F, 2, FALSE) * H27, IF(L27="Level 2", VLOOKUP(I27, UserCodes!E:F, 2, FALSE) * H27 * 0.8, 0))</f>
        <v/>
      </c>
      <c r="K27" t="inlineStr">
        <is>
          <t>Omar, Mohamed</t>
        </is>
      </c>
      <c r="L27">
        <f>VLOOKUP(K27, UserCodes!A:B, 2, FALSE)</f>
        <v/>
      </c>
    </row>
    <row r="28">
      <c r="A28" t="inlineStr">
        <is>
          <t>Abdi, Mohamed</t>
        </is>
      </c>
      <c r="B28" s="3" t="n">
        <v>46007</v>
      </c>
      <c r="C28" t="inlineStr">
        <is>
          <t>04:00 PM - 07:00 PM</t>
        </is>
      </c>
      <c r="D28" t="inlineStr">
        <is>
          <t>03:00</t>
        </is>
      </c>
      <c r="E28">
        <f>HOUR(D28)+MINUTE(D28)/100</f>
        <v/>
      </c>
      <c r="F28">
        <f>ROUND(INT(E28) + (E28 - INT(E28)) * 100 / 60, 2)</f>
        <v/>
      </c>
      <c r="G28">
        <f>E28*4</f>
        <v/>
      </c>
      <c r="H28">
        <f>LET(total, INT(E28)*60 + (E28-INT(E28))*100, blocks, QUOTIENT(total, 15), extra, MOD(total, 15), units, blocks + IF(extra&gt;=8, 1, 0), units)</f>
        <v/>
      </c>
      <c r="J28">
        <f>IF(L28="Level 1", VLOOKUP(I28, UserCodes!E:F, 2, FALSE) * H28, IF(L28="Level 2", VLOOKUP(I28, UserCodes!E:F, 2, FALSE) * H28 * 0.8, 0))</f>
        <v/>
      </c>
      <c r="K28" t="inlineStr">
        <is>
          <t>Hawadle, Abdiaziz</t>
        </is>
      </c>
      <c r="L28">
        <f>VLOOKUP(K28, UserCodes!A:B, 2, FALSE)</f>
        <v/>
      </c>
    </row>
    <row r="29">
      <c r="A29" t="inlineStr">
        <is>
          <t>Abdi, Mohamed</t>
        </is>
      </c>
      <c r="B29" s="3" t="n">
        <v>46007</v>
      </c>
      <c r="C29" t="inlineStr">
        <is>
          <t>02:15 PM - 08:00 PM</t>
        </is>
      </c>
      <c r="D29" t="inlineStr">
        <is>
          <t>05:45</t>
        </is>
      </c>
      <c r="E29">
        <f>HOUR(D29)+MINUTE(D29)/100</f>
        <v/>
      </c>
      <c r="F29">
        <f>ROUND(INT(E29) + (E29 - INT(E29)) * 100 / 60, 2)</f>
        <v/>
      </c>
      <c r="G29">
        <f>E29*4</f>
        <v/>
      </c>
      <c r="H29">
        <f>LET(total, INT(E29)*60 + (E29-INT(E29))*100, blocks, QUOTIENT(total, 15), extra, MOD(total, 15), units, blocks + IF(extra&gt;=8, 1, 0), units)</f>
        <v/>
      </c>
      <c r="J29">
        <f>IF(L29="Level 1", VLOOKUP(I29, UserCodes!E:F, 2, FALSE) * H29, IF(L29="Level 2", VLOOKUP(I29, UserCodes!E:F, 2, FALSE) * H29 * 0.8, 0))</f>
        <v/>
      </c>
      <c r="K29" t="inlineStr">
        <is>
          <t>Ibrahim, Ahmed</t>
        </is>
      </c>
      <c r="L29">
        <f>VLOOKUP(K29, UserCodes!A:B, 2, FALSE)</f>
        <v/>
      </c>
    </row>
    <row r="30">
      <c r="A30" t="inlineStr">
        <is>
          <t>Abdi, Mohamed</t>
        </is>
      </c>
      <c r="B30" s="3" t="n">
        <v>46006</v>
      </c>
      <c r="C30" t="inlineStr">
        <is>
          <t>06:15 PM - 08:00 PM</t>
        </is>
      </c>
      <c r="D30" t="inlineStr">
        <is>
          <t>01:45</t>
        </is>
      </c>
      <c r="E30">
        <f>HOUR(D30)+MINUTE(D30)/100</f>
        <v/>
      </c>
      <c r="F30">
        <f>ROUND(INT(E30) + (E30 - INT(E30)) * 100 / 60, 2)</f>
        <v/>
      </c>
      <c r="G30">
        <f>E30*4</f>
        <v/>
      </c>
      <c r="H30">
        <f>LET(total, INT(E30)*60 + (E30-INT(E30))*100, blocks, QUOTIENT(total, 15), extra, MOD(total, 15), units, blocks + IF(extra&gt;=8, 1, 0), units)</f>
        <v/>
      </c>
      <c r="J30">
        <f>IF(L30="Level 1", VLOOKUP(I30, UserCodes!E:F, 2, FALSE) * H30, IF(L30="Level 2", VLOOKUP(I30, UserCodes!E:F, 2, FALSE) * H30 * 0.8, 0))</f>
        <v/>
      </c>
      <c r="K30" t="inlineStr">
        <is>
          <t>Noor, Kamilo</t>
        </is>
      </c>
      <c r="L30">
        <f>VLOOKUP(K30, UserCodes!A:B, 2, FALSE)</f>
        <v/>
      </c>
    </row>
    <row r="31">
      <c r="A31" t="inlineStr">
        <is>
          <t>Abdi, Mohamed</t>
        </is>
      </c>
      <c r="B31" s="3" t="n">
        <v>46006</v>
      </c>
      <c r="C31" t="inlineStr">
        <is>
          <t>03:00 PM - 08:00 PM</t>
        </is>
      </c>
      <c r="D31" t="inlineStr">
        <is>
          <t>05:00</t>
        </is>
      </c>
      <c r="E31">
        <f>HOUR(D31)+MINUTE(D31)/100</f>
        <v/>
      </c>
      <c r="F31">
        <f>ROUND(INT(E31) + (E31 - INT(E31)) * 100 / 60, 2)</f>
        <v/>
      </c>
      <c r="G31">
        <f>E31*4</f>
        <v/>
      </c>
      <c r="H31">
        <f>LET(total, INT(E31)*60 + (E31-INT(E31))*100, blocks, QUOTIENT(total, 15), extra, MOD(total, 15), units, blocks + IF(extra&gt;=8, 1, 0), units)</f>
        <v/>
      </c>
      <c r="J31">
        <f>IF(L31="Level 1", VLOOKUP(I31, UserCodes!E:F, 2, FALSE) * H31, IF(L31="Level 2", VLOOKUP(I31, UserCodes!E:F, 2, FALSE) * H31 * 0.8, 0))</f>
        <v/>
      </c>
      <c r="K31" t="inlineStr">
        <is>
          <t>Omar, Mohamed</t>
        </is>
      </c>
      <c r="L31">
        <f>VLOOKUP(K31, UserCodes!A:B, 2, FALSE)</f>
        <v/>
      </c>
    </row>
    <row r="32">
      <c r="A32" t="inlineStr">
        <is>
          <t>Abdi, Mohamed</t>
        </is>
      </c>
      <c r="B32" s="3" t="n">
        <v>46004</v>
      </c>
      <c r="C32" t="inlineStr">
        <is>
          <t>02:40 PM - 04:00 PM</t>
        </is>
      </c>
      <c r="D32" t="inlineStr">
        <is>
          <t>01:20</t>
        </is>
      </c>
      <c r="E32">
        <f>HOUR(D32)+MINUTE(D32)/100</f>
        <v/>
      </c>
      <c r="F32">
        <f>ROUND(INT(E32) + (E32 - INT(E32)) * 100 / 60, 2)</f>
        <v/>
      </c>
      <c r="G32">
        <f>E32*4</f>
        <v/>
      </c>
      <c r="H32">
        <f>LET(total, INT(E32)*60 + (E32-INT(E32))*100, blocks, QUOTIENT(total, 15), extra, MOD(total, 15), units, blocks + IF(extra&gt;=8, 1, 0), units)</f>
        <v/>
      </c>
      <c r="J32">
        <f>IF(L32="Level 1", VLOOKUP(I32, UserCodes!E:F, 2, FALSE) * H32, IF(L32="Level 2", VLOOKUP(I32, UserCodes!E:F, 2, FALSE) * H32 * 0.8, 0))</f>
        <v/>
      </c>
      <c r="K32" t="inlineStr">
        <is>
          <t>Hawadle, Abdiaziz</t>
        </is>
      </c>
      <c r="L32">
        <f>VLOOKUP(K32, UserCodes!A:B, 2, FALSE)</f>
        <v/>
      </c>
    </row>
    <row r="33">
      <c r="A33" t="inlineStr">
        <is>
          <t>Abdi, Mohamed</t>
        </is>
      </c>
      <c r="B33" s="3" t="n">
        <v>46004</v>
      </c>
      <c r="C33" t="inlineStr">
        <is>
          <t>02:40 PM - 06:10 PM</t>
        </is>
      </c>
      <c r="D33" t="inlineStr">
        <is>
          <t>03:30</t>
        </is>
      </c>
      <c r="E33">
        <f>HOUR(D33)+MINUTE(D33)/100</f>
        <v/>
      </c>
      <c r="F33">
        <f>ROUND(INT(E33) + (E33 - INT(E33)) * 100 / 60, 2)</f>
        <v/>
      </c>
      <c r="G33">
        <f>E33*4</f>
        <v/>
      </c>
      <c r="H33">
        <f>LET(total, INT(E33)*60 + (E33-INT(E33))*100, blocks, QUOTIENT(total, 15), extra, MOD(total, 15), units, blocks + IF(extra&gt;=8, 1, 0), units)</f>
        <v/>
      </c>
      <c r="J33">
        <f>IF(L33="Level 1", VLOOKUP(I33, UserCodes!E:F, 2, FALSE) * H33, IF(L33="Level 2", VLOOKUP(I33, UserCodes!E:F, 2, FALSE) * H33 * 0.8, 0))</f>
        <v/>
      </c>
      <c r="K33" t="inlineStr">
        <is>
          <t>Ibrahim, Ahmed</t>
        </is>
      </c>
      <c r="L33">
        <f>VLOOKUP(K33, UserCodes!A:B, 2, FALSE)</f>
        <v/>
      </c>
    </row>
    <row r="34">
      <c r="A34" t="inlineStr">
        <is>
          <t>Abdi, Mohamed</t>
        </is>
      </c>
      <c r="B34" s="3" t="n">
        <v>46004</v>
      </c>
      <c r="C34" t="inlineStr">
        <is>
          <t>01:00 PM - 02:40 PM</t>
        </is>
      </c>
      <c r="D34" t="inlineStr">
        <is>
          <t>01:40</t>
        </is>
      </c>
      <c r="E34">
        <f>HOUR(D34)+MINUTE(D34)/100</f>
        <v/>
      </c>
      <c r="F34">
        <f>ROUND(INT(E34) + (E34 - INT(E34)) * 100 / 60, 2)</f>
        <v/>
      </c>
      <c r="G34">
        <f>E34*4</f>
        <v/>
      </c>
      <c r="H34">
        <f>LET(total, INT(E34)*60 + (E34-INT(E34))*100, blocks, QUOTIENT(total, 15), extra, MOD(total, 15), units, blocks + IF(extra&gt;=8, 1, 0), units)</f>
        <v/>
      </c>
      <c r="J34">
        <f>IF(L34="Level 1", VLOOKUP(I34, UserCodes!E:F, 2, FALSE) * H34, IF(L34="Level 2", VLOOKUP(I34, UserCodes!E:F, 2, FALSE) * H34 * 0.8, 0))</f>
        <v/>
      </c>
      <c r="K34" t="inlineStr">
        <is>
          <t>Hawadle, Abdiaziz</t>
        </is>
      </c>
      <c r="L34">
        <f>VLOOKUP(K34, UserCodes!A:B, 2, FALSE)</f>
        <v/>
      </c>
    </row>
    <row r="35">
      <c r="A35" t="inlineStr">
        <is>
          <t>Abdi, Mohamed</t>
        </is>
      </c>
      <c r="B35" s="3" t="n">
        <v>46004</v>
      </c>
      <c r="C35" t="inlineStr">
        <is>
          <t>10:00 AM - 02:40 PM</t>
        </is>
      </c>
      <c r="D35" t="inlineStr">
        <is>
          <t>04:40</t>
        </is>
      </c>
      <c r="E35">
        <f>HOUR(D35)+MINUTE(D35)/100</f>
        <v/>
      </c>
      <c r="F35">
        <f>ROUND(INT(E35) + (E35 - INT(E35)) * 100 / 60, 2)</f>
        <v/>
      </c>
      <c r="G35">
        <f>E35*4</f>
        <v/>
      </c>
      <c r="H35">
        <f>LET(total, INT(E35)*60 + (E35-INT(E35))*100, blocks, QUOTIENT(total, 15), extra, MOD(total, 15), units, blocks + IF(extra&gt;=8, 1, 0), units)</f>
        <v/>
      </c>
      <c r="J35">
        <f>IF(L35="Level 1", VLOOKUP(I35, UserCodes!E:F, 2, FALSE) * H35, IF(L35="Level 2", VLOOKUP(I35, UserCodes!E:F, 2, FALSE) * H35 * 0.8, 0))</f>
        <v/>
      </c>
      <c r="K35" t="inlineStr">
        <is>
          <t>Mohamed, Mohamed</t>
        </is>
      </c>
      <c r="L35">
        <f>VLOOKUP(K35, UserCodes!A:B, 2, FALSE)</f>
        <v/>
      </c>
    </row>
    <row r="36">
      <c r="A36" t="inlineStr">
        <is>
          <t>Abdi, Mohamed</t>
        </is>
      </c>
      <c r="B36" s="3" t="n">
        <v>46003</v>
      </c>
      <c r="C36" t="inlineStr">
        <is>
          <t>03:00 PM - 08:00 PM</t>
        </is>
      </c>
      <c r="D36" t="inlineStr">
        <is>
          <t>05:00</t>
        </is>
      </c>
      <c r="E36">
        <f>HOUR(D36)+MINUTE(D36)/100</f>
        <v/>
      </c>
      <c r="F36">
        <f>ROUND(INT(E36) + (E36 - INT(E36)) * 100 / 60, 2)</f>
        <v/>
      </c>
      <c r="G36">
        <f>E36*4</f>
        <v/>
      </c>
      <c r="H36">
        <f>LET(total, INT(E36)*60 + (E36-INT(E36))*100, blocks, QUOTIENT(total, 15), extra, MOD(total, 15), units, blocks + IF(extra&gt;=8, 1, 0), units)</f>
        <v/>
      </c>
      <c r="J36">
        <f>IF(L36="Level 1", VLOOKUP(I36, UserCodes!E:F, 2, FALSE) * H36, IF(L36="Level 2", VLOOKUP(I36, UserCodes!E:F, 2, FALSE) * H36 * 0.8, 0))</f>
        <v/>
      </c>
      <c r="K36" t="inlineStr">
        <is>
          <t>Osman, Basra</t>
        </is>
      </c>
      <c r="L36">
        <f>VLOOKUP(K36, UserCodes!A:B, 2, FALSE)</f>
        <v/>
      </c>
    </row>
    <row r="37">
      <c r="A37" t="inlineStr">
        <is>
          <t>Abdi, Mohamed</t>
        </is>
      </c>
      <c r="B37" s="3" t="n">
        <v>46002</v>
      </c>
      <c r="C37" t="inlineStr">
        <is>
          <t>04:00 PM - 07:00 PM</t>
        </is>
      </c>
      <c r="D37" t="inlineStr">
        <is>
          <t>03:00</t>
        </is>
      </c>
      <c r="E37">
        <f>HOUR(D37)+MINUTE(D37)/100</f>
        <v/>
      </c>
      <c r="F37">
        <f>ROUND(INT(E37) + (E37 - INT(E37)) * 100 / 60, 2)</f>
        <v/>
      </c>
      <c r="G37">
        <f>E37*4</f>
        <v/>
      </c>
      <c r="H37">
        <f>LET(total, INT(E37)*60 + (E37-INT(E37))*100, blocks, QUOTIENT(total, 15), extra, MOD(total, 15), units, blocks + IF(extra&gt;=8, 1, 0), units)</f>
        <v/>
      </c>
      <c r="J37">
        <f>IF(L37="Level 1", VLOOKUP(I37, UserCodes!E:F, 2, FALSE) * H37, IF(L37="Level 2", VLOOKUP(I37, UserCodes!E:F, 2, FALSE) * H37 * 0.8, 0))</f>
        <v/>
      </c>
      <c r="K37" t="inlineStr">
        <is>
          <t>Hawadle, Abdiaziz</t>
        </is>
      </c>
      <c r="L37">
        <f>VLOOKUP(K37, UserCodes!A:B, 2, FALSE)</f>
        <v/>
      </c>
    </row>
    <row r="38">
      <c r="A38" t="inlineStr">
        <is>
          <t>Abdi, Mohamed</t>
        </is>
      </c>
      <c r="B38" s="3" t="n">
        <v>46002</v>
      </c>
      <c r="C38" t="inlineStr">
        <is>
          <t>03:00 PM - 08:00 PM</t>
        </is>
      </c>
      <c r="D38" t="inlineStr">
        <is>
          <t>05:00</t>
        </is>
      </c>
      <c r="E38">
        <f>HOUR(D38)+MINUTE(D38)/100</f>
        <v/>
      </c>
      <c r="F38">
        <f>ROUND(INT(E38) + (E38 - INT(E38)) * 100 / 60, 2)</f>
        <v/>
      </c>
      <c r="G38">
        <f>E38*4</f>
        <v/>
      </c>
      <c r="H38">
        <f>LET(total, INT(E38)*60 + (E38-INT(E38))*100, blocks, QUOTIENT(total, 15), extra, MOD(total, 15), units, blocks + IF(extra&gt;=8, 1, 0), units)</f>
        <v/>
      </c>
      <c r="J38">
        <f>IF(L38="Level 1", VLOOKUP(I38, UserCodes!E:F, 2, FALSE) * H38, IF(L38="Level 2", VLOOKUP(I38, UserCodes!E:F, 2, FALSE) * H38 * 0.8, 0))</f>
        <v/>
      </c>
      <c r="K38" t="inlineStr">
        <is>
          <t>Omar, Mohamed</t>
        </is>
      </c>
      <c r="L38">
        <f>VLOOKUP(K38, UserCodes!A:B, 2, FALSE)</f>
        <v/>
      </c>
    </row>
    <row r="39">
      <c r="A39" t="inlineStr">
        <is>
          <t>Abdi, Safia</t>
        </is>
      </c>
      <c r="B39" s="3" t="n">
        <v>46014</v>
      </c>
      <c r="C39" t="inlineStr">
        <is>
          <t>04:00 PM - 08:00 PM</t>
        </is>
      </c>
      <c r="D39" t="inlineStr">
        <is>
          <t>04:00</t>
        </is>
      </c>
      <c r="E39">
        <f>HOUR(D39)+MINUTE(D39)/100</f>
        <v/>
      </c>
      <c r="F39">
        <f>ROUND(INT(E39) + (E39 - INT(E39)) * 100 / 60, 2)</f>
        <v/>
      </c>
      <c r="G39">
        <f>E39*4</f>
        <v/>
      </c>
      <c r="H39">
        <f>LET(total, INT(E39)*60 + (E39-INT(E39))*100, blocks, QUOTIENT(total, 15), extra, MOD(total, 15), units, blocks + IF(extra&gt;=8, 1, 0), units)</f>
        <v/>
      </c>
      <c r="J39">
        <f>IF(L39="Level 1", VLOOKUP(I39, UserCodes!E:F, 2, FALSE) * H39, IF(L39="Level 2", VLOOKUP(I39, UserCodes!E:F, 2, FALSE) * H39 * 0.8, 0))</f>
        <v/>
      </c>
      <c r="K39" t="inlineStr">
        <is>
          <t>Mohamed, Samsam</t>
        </is>
      </c>
      <c r="L39">
        <f>VLOOKUP(K39, UserCodes!A:B, 2, FALSE)</f>
        <v/>
      </c>
    </row>
    <row r="40">
      <c r="A40" t="inlineStr">
        <is>
          <t>Abdi, Safia</t>
        </is>
      </c>
      <c r="B40" s="3" t="n">
        <v>46014</v>
      </c>
      <c r="C40" t="inlineStr">
        <is>
          <t>12:00 PM - 03:30 PM</t>
        </is>
      </c>
      <c r="D40" t="inlineStr">
        <is>
          <t>03:30</t>
        </is>
      </c>
      <c r="E40">
        <f>HOUR(D40)+MINUTE(D40)/100</f>
        <v/>
      </c>
      <c r="F40">
        <f>ROUND(INT(E40) + (E40 - INT(E40)) * 100 / 60, 2)</f>
        <v/>
      </c>
      <c r="G40">
        <f>E40*4</f>
        <v/>
      </c>
      <c r="H40">
        <f>LET(total, INT(E40)*60 + (E40-INT(E40))*100, blocks, QUOTIENT(total, 15), extra, MOD(total, 15), units, blocks + IF(extra&gt;=8, 1, 0), units)</f>
        <v/>
      </c>
      <c r="J40">
        <f>IF(L40="Level 1", VLOOKUP(I40, UserCodes!E:F, 2, FALSE) * H40, IF(L40="Level 2", VLOOKUP(I40, UserCodes!E:F, 2, FALSE) * H40 * 0.8, 0))</f>
        <v/>
      </c>
      <c r="K40" t="inlineStr">
        <is>
          <t>Mohamed, Samsam</t>
        </is>
      </c>
      <c r="L40">
        <f>VLOOKUP(K40, UserCodes!A:B, 2, FALSE)</f>
        <v/>
      </c>
    </row>
    <row r="41">
      <c r="A41" t="inlineStr">
        <is>
          <t>Abdi, Safia</t>
        </is>
      </c>
      <c r="B41" s="3" t="n">
        <v>46012</v>
      </c>
      <c r="C41" t="inlineStr">
        <is>
          <t>01:30 AM - 03:45 PM</t>
        </is>
      </c>
      <c r="D41" t="inlineStr">
        <is>
          <t>14:15</t>
        </is>
      </c>
      <c r="E41">
        <f>HOUR(D41)+MINUTE(D41)/100</f>
        <v/>
      </c>
      <c r="F41">
        <f>ROUND(INT(E41) + (E41 - INT(E41)) * 100 / 60, 2)</f>
        <v/>
      </c>
      <c r="G41">
        <f>E41*4</f>
        <v/>
      </c>
      <c r="H41">
        <f>LET(total, INT(E41)*60 + (E41-INT(E41))*100, blocks, QUOTIENT(total, 15), extra, MOD(total, 15), units, blocks + IF(extra&gt;=8, 1, 0), units)</f>
        <v/>
      </c>
      <c r="J41">
        <f>IF(L41="Level 1", VLOOKUP(I41, UserCodes!E:F, 2, FALSE) * H41, IF(L41="Level 2", VLOOKUP(I41, UserCodes!E:F, 2, FALSE) * H41 * 0.8, 0))</f>
        <v/>
      </c>
      <c r="K41" t="inlineStr">
        <is>
          <t>Ahmed, Jama</t>
        </is>
      </c>
      <c r="L41">
        <f>VLOOKUP(K41, UserCodes!A:B, 2, FALSE)</f>
        <v/>
      </c>
    </row>
    <row r="42">
      <c r="A42" t="inlineStr">
        <is>
          <t>Abdi, Safia</t>
        </is>
      </c>
      <c r="B42" s="3" t="n">
        <v>46011</v>
      </c>
      <c r="C42" t="inlineStr">
        <is>
          <t>10:00 AM - 01:00 PM</t>
        </is>
      </c>
      <c r="D42" t="inlineStr">
        <is>
          <t>03:00</t>
        </is>
      </c>
      <c r="E42">
        <f>HOUR(D42)+MINUTE(D42)/100</f>
        <v/>
      </c>
      <c r="F42">
        <f>ROUND(INT(E42) + (E42 - INT(E42)) * 100 / 60, 2)</f>
        <v/>
      </c>
      <c r="G42">
        <f>E42*4</f>
        <v/>
      </c>
      <c r="H42">
        <f>LET(total, INT(E42)*60 + (E42-INT(E42))*100, blocks, QUOTIENT(total, 15), extra, MOD(total, 15), units, blocks + IF(extra&gt;=8, 1, 0), units)</f>
        <v/>
      </c>
      <c r="J42">
        <f>IF(L42="Level 1", VLOOKUP(I42, UserCodes!E:F, 2, FALSE) * H42, IF(L42="Level 2", VLOOKUP(I42, UserCodes!E:F, 2, FALSE) * H42 * 0.8, 0))</f>
        <v/>
      </c>
      <c r="K42" t="inlineStr">
        <is>
          <t>Mohamed, Madar</t>
        </is>
      </c>
      <c r="L42">
        <f>VLOOKUP(K42, UserCodes!A:B, 2, FALSE)</f>
        <v/>
      </c>
    </row>
    <row r="43">
      <c r="A43" t="inlineStr">
        <is>
          <t>Abdi, Safia</t>
        </is>
      </c>
      <c r="B43" s="3" t="n">
        <v>46011</v>
      </c>
      <c r="C43" t="inlineStr">
        <is>
          <t>10:00 AM - 05:00 PM</t>
        </is>
      </c>
      <c r="D43" t="inlineStr">
        <is>
          <t>07:00</t>
        </is>
      </c>
      <c r="E43">
        <f>HOUR(D43)+MINUTE(D43)/100</f>
        <v/>
      </c>
      <c r="F43">
        <f>ROUND(INT(E43) + (E43 - INT(E43)) * 100 / 60, 2)</f>
        <v/>
      </c>
      <c r="G43">
        <f>E43*4</f>
        <v/>
      </c>
      <c r="H43">
        <f>LET(total, INT(E43)*60 + (E43-INT(E43))*100, blocks, QUOTIENT(total, 15), extra, MOD(total, 15), units, blocks + IF(extra&gt;=8, 1, 0), units)</f>
        <v/>
      </c>
      <c r="J43">
        <f>IF(L43="Level 1", VLOOKUP(I43, UserCodes!E:F, 2, FALSE) * H43, IF(L43="Level 2", VLOOKUP(I43, UserCodes!E:F, 2, FALSE) * H43 * 0.8, 0))</f>
        <v/>
      </c>
      <c r="K43" t="inlineStr">
        <is>
          <t>Mohamed, Mohamed</t>
        </is>
      </c>
      <c r="L43">
        <f>VLOOKUP(K43, UserCodes!A:B, 2, FALSE)</f>
        <v/>
      </c>
    </row>
    <row r="44">
      <c r="A44" t="inlineStr">
        <is>
          <t>Abdi, Safia</t>
        </is>
      </c>
      <c r="B44" s="3" t="n">
        <v>46010</v>
      </c>
      <c r="C44" t="inlineStr">
        <is>
          <t>06:30 PM - 08:00 PM</t>
        </is>
      </c>
      <c r="D44" t="inlineStr">
        <is>
          <t>01:30</t>
        </is>
      </c>
      <c r="E44">
        <f>HOUR(D44)+MINUTE(D44)/100</f>
        <v/>
      </c>
      <c r="F44">
        <f>ROUND(INT(E44) + (E44 - INT(E44)) * 100 / 60, 2)</f>
        <v/>
      </c>
      <c r="G44">
        <f>E44*4</f>
        <v/>
      </c>
      <c r="H44">
        <f>LET(total, INT(E44)*60 + (E44-INT(E44))*100, blocks, QUOTIENT(total, 15), extra, MOD(total, 15), units, blocks + IF(extra&gt;=8, 1, 0), units)</f>
        <v/>
      </c>
      <c r="J44">
        <f>IF(L44="Level 1", VLOOKUP(I44, UserCodes!E:F, 2, FALSE) * H44, IF(L44="Level 2", VLOOKUP(I44, UserCodes!E:F, 2, FALSE) * H44 * 0.8, 0))</f>
        <v/>
      </c>
      <c r="K44" t="inlineStr">
        <is>
          <t>Muse, Ayni</t>
        </is>
      </c>
      <c r="L44">
        <f>VLOOKUP(K44, UserCodes!A:B, 2, FALSE)</f>
        <v/>
      </c>
    </row>
    <row r="45">
      <c r="A45" t="inlineStr">
        <is>
          <t>Abdi, Safia</t>
        </is>
      </c>
      <c r="B45" s="3" t="n">
        <v>46010</v>
      </c>
      <c r="C45" t="inlineStr">
        <is>
          <t>03:15 PM - 08:00 PM</t>
        </is>
      </c>
      <c r="D45" t="inlineStr">
        <is>
          <t>04:45</t>
        </is>
      </c>
      <c r="E45">
        <f>HOUR(D45)+MINUTE(D45)/100</f>
        <v/>
      </c>
      <c r="F45">
        <f>ROUND(INT(E45) + (E45 - INT(E45)) * 100 / 60, 2)</f>
        <v/>
      </c>
      <c r="G45">
        <f>E45*4</f>
        <v/>
      </c>
      <c r="H45">
        <f>LET(total, INT(E45)*60 + (E45-INT(E45))*100, blocks, QUOTIENT(total, 15), extra, MOD(total, 15), units, blocks + IF(extra&gt;=8, 1, 0), units)</f>
        <v/>
      </c>
      <c r="J45">
        <f>IF(L45="Level 1", VLOOKUP(I45, UserCodes!E:F, 2, FALSE) * H45, IF(L45="Level 2", VLOOKUP(I45, UserCodes!E:F, 2, FALSE) * H45 * 0.8, 0))</f>
        <v/>
      </c>
      <c r="K45" t="inlineStr">
        <is>
          <t>Mohamed, Mohamed</t>
        </is>
      </c>
      <c r="L45">
        <f>VLOOKUP(K45, UserCodes!A:B, 2, FALSE)</f>
        <v/>
      </c>
    </row>
    <row r="46">
      <c r="A46" t="inlineStr">
        <is>
          <t>Abdi, Safia</t>
        </is>
      </c>
      <c r="B46" s="3" t="n">
        <v>46009</v>
      </c>
      <c r="C46" t="inlineStr">
        <is>
          <t>06:00 PM - 08:00 PM</t>
        </is>
      </c>
      <c r="D46" t="inlineStr">
        <is>
          <t>02:00</t>
        </is>
      </c>
      <c r="E46">
        <f>HOUR(D46)+MINUTE(D46)/100</f>
        <v/>
      </c>
      <c r="F46">
        <f>ROUND(INT(E46) + (E46 - INT(E46)) * 100 / 60, 2)</f>
        <v/>
      </c>
      <c r="G46">
        <f>E46*4</f>
        <v/>
      </c>
      <c r="H46">
        <f>LET(total, INT(E46)*60 + (E46-INT(E46))*100, blocks, QUOTIENT(total, 15), extra, MOD(total, 15), units, blocks + IF(extra&gt;=8, 1, 0), units)</f>
        <v/>
      </c>
      <c r="J46">
        <f>IF(L46="Level 1", VLOOKUP(I46, UserCodes!E:F, 2, FALSE) * H46, IF(L46="Level 2", VLOOKUP(I46, UserCodes!E:F, 2, FALSE) * H46 * 0.8, 0))</f>
        <v/>
      </c>
      <c r="K46" t="inlineStr">
        <is>
          <t>Muse, Adna</t>
        </is>
      </c>
      <c r="L46">
        <f>VLOOKUP(K46, UserCodes!A:B, 2, FALSE)</f>
        <v/>
      </c>
    </row>
    <row r="47">
      <c r="A47" t="inlineStr">
        <is>
          <t>Abdi, Safia</t>
        </is>
      </c>
      <c r="B47" s="3" t="n">
        <v>46009</v>
      </c>
      <c r="C47" t="inlineStr">
        <is>
          <t>03:30 PM - 08:00 PM</t>
        </is>
      </c>
      <c r="D47" t="inlineStr">
        <is>
          <t>04:30</t>
        </is>
      </c>
      <c r="E47">
        <f>HOUR(D47)+MINUTE(D47)/100</f>
        <v/>
      </c>
      <c r="F47">
        <f>ROUND(INT(E47) + (E47 - INT(E47)) * 100 / 60, 2)</f>
        <v/>
      </c>
      <c r="G47">
        <f>E47*4</f>
        <v/>
      </c>
      <c r="H47">
        <f>LET(total, INT(E47)*60 + (E47-INT(E47))*100, blocks, QUOTIENT(total, 15), extra, MOD(total, 15), units, blocks + IF(extra&gt;=8, 1, 0), units)</f>
        <v/>
      </c>
      <c r="J47">
        <f>IF(L47="Level 1", VLOOKUP(I47, UserCodes!E:F, 2, FALSE) * H47, IF(L47="Level 2", VLOOKUP(I47, UserCodes!E:F, 2, FALSE) * H47 * 0.8, 0))</f>
        <v/>
      </c>
      <c r="K47" t="inlineStr">
        <is>
          <t>Mohamed, Samsam</t>
        </is>
      </c>
      <c r="L47">
        <f>VLOOKUP(K47, UserCodes!A:B, 2, FALSE)</f>
        <v/>
      </c>
    </row>
    <row r="48">
      <c r="A48" t="inlineStr">
        <is>
          <t>Abdi, Safia</t>
        </is>
      </c>
      <c r="B48" s="3" t="n">
        <v>46008</v>
      </c>
      <c r="C48" t="inlineStr">
        <is>
          <t>05:00 PM - 08:00 PM</t>
        </is>
      </c>
      <c r="D48" t="inlineStr">
        <is>
          <t>03:00</t>
        </is>
      </c>
      <c r="E48">
        <f>HOUR(D48)+MINUTE(D48)/100</f>
        <v/>
      </c>
      <c r="F48">
        <f>ROUND(INT(E48) + (E48 - INT(E48)) * 100 / 60, 2)</f>
        <v/>
      </c>
      <c r="G48">
        <f>E48*4</f>
        <v/>
      </c>
      <c r="H48">
        <f>LET(total, INT(E48)*60 + (E48-INT(E48))*100, blocks, QUOTIENT(total, 15), extra, MOD(total, 15), units, blocks + IF(extra&gt;=8, 1, 0), units)</f>
        <v/>
      </c>
      <c r="J48">
        <f>IF(L48="Level 1", VLOOKUP(I48, UserCodes!E:F, 2, FALSE) * H48, IF(L48="Level 2", VLOOKUP(I48, UserCodes!E:F, 2, FALSE) * H48 * 0.8, 0))</f>
        <v/>
      </c>
      <c r="K48" t="inlineStr">
        <is>
          <t>Noor, Kamilo</t>
        </is>
      </c>
      <c r="L48">
        <f>VLOOKUP(K48, UserCodes!A:B, 2, FALSE)</f>
        <v/>
      </c>
    </row>
    <row r="49">
      <c r="A49" t="inlineStr">
        <is>
          <t>Abdi, Safia</t>
        </is>
      </c>
      <c r="B49" s="3" t="n">
        <v>46008</v>
      </c>
      <c r="C49" t="inlineStr">
        <is>
          <t>03:15 PM - 08:00 PM</t>
        </is>
      </c>
      <c r="D49" t="inlineStr">
        <is>
          <t>04:45</t>
        </is>
      </c>
      <c r="E49">
        <f>HOUR(D49)+MINUTE(D49)/100</f>
        <v/>
      </c>
      <c r="F49">
        <f>ROUND(INT(E49) + (E49 - INT(E49)) * 100 / 60, 2)</f>
        <v/>
      </c>
      <c r="G49">
        <f>E49*4</f>
        <v/>
      </c>
      <c r="H49">
        <f>LET(total, INT(E49)*60 + (E49-INT(E49))*100, blocks, QUOTIENT(total, 15), extra, MOD(total, 15), units, blocks + IF(extra&gt;=8, 1, 0), units)</f>
        <v/>
      </c>
      <c r="J49">
        <f>IF(L49="Level 1", VLOOKUP(I49, UserCodes!E:F, 2, FALSE) * H49, IF(L49="Level 2", VLOOKUP(I49, UserCodes!E:F, 2, FALSE) * H49 * 0.8, 0))</f>
        <v/>
      </c>
      <c r="K49" t="inlineStr">
        <is>
          <t>Ali, Naima</t>
        </is>
      </c>
      <c r="L49">
        <f>VLOOKUP(K49, UserCodes!A:B, 2, FALSE)</f>
        <v/>
      </c>
    </row>
    <row r="50">
      <c r="A50" t="inlineStr">
        <is>
          <t>Abdi, Safia</t>
        </is>
      </c>
      <c r="B50" s="3" t="n">
        <v>46008</v>
      </c>
      <c r="C50" t="inlineStr">
        <is>
          <t>09:45 AM - 11:30 AM</t>
        </is>
      </c>
      <c r="D50" t="inlineStr">
        <is>
          <t>01:45</t>
        </is>
      </c>
      <c r="E50">
        <f>HOUR(D50)+MINUTE(D50)/100</f>
        <v/>
      </c>
      <c r="F50">
        <f>ROUND(INT(E50) + (E50 - INT(E50)) * 100 / 60, 2)</f>
        <v/>
      </c>
      <c r="G50">
        <f>E50*4</f>
        <v/>
      </c>
      <c r="H50">
        <f>LET(total, INT(E50)*60 + (E50-INT(E50))*100, blocks, QUOTIENT(total, 15), extra, MOD(total, 15), units, blocks + IF(extra&gt;=8, 1, 0), units)</f>
        <v/>
      </c>
      <c r="J50">
        <f>IF(L50="Level 1", VLOOKUP(I50, UserCodes!E:F, 2, FALSE) * H50, IF(L50="Level 2", VLOOKUP(I50, UserCodes!E:F, 2, FALSE) * H50 * 0.8, 0))</f>
        <v/>
      </c>
      <c r="K50" t="inlineStr">
        <is>
          <t>Ahmed, Jama</t>
        </is>
      </c>
      <c r="L50">
        <f>VLOOKUP(K50, UserCodes!A:B, 2, FALSE)</f>
        <v/>
      </c>
    </row>
    <row r="51">
      <c r="A51" t="inlineStr">
        <is>
          <t>Abdi, Safia</t>
        </is>
      </c>
      <c r="B51" s="3" t="n">
        <v>46007</v>
      </c>
      <c r="C51" t="inlineStr">
        <is>
          <t>04:00 PM - 08:00 PM</t>
        </is>
      </c>
      <c r="D51" t="inlineStr">
        <is>
          <t>04:00</t>
        </is>
      </c>
      <c r="E51">
        <f>HOUR(D51)+MINUTE(D51)/100</f>
        <v/>
      </c>
      <c r="F51">
        <f>ROUND(INT(E51) + (E51 - INT(E51)) * 100 / 60, 2)</f>
        <v/>
      </c>
      <c r="G51">
        <f>E51*4</f>
        <v/>
      </c>
      <c r="H51">
        <f>LET(total, INT(E51)*60 + (E51-INT(E51))*100, blocks, QUOTIENT(total, 15), extra, MOD(total, 15), units, blocks + IF(extra&gt;=8, 1, 0), units)</f>
        <v/>
      </c>
      <c r="J51">
        <f>IF(L51="Level 1", VLOOKUP(I51, UserCodes!E:F, 2, FALSE) * H51, IF(L51="Level 2", VLOOKUP(I51, UserCodes!E:F, 2, FALSE) * H51 * 0.8, 0))</f>
        <v/>
      </c>
      <c r="K51" t="inlineStr">
        <is>
          <t>Barqab, Mushtaq</t>
        </is>
      </c>
      <c r="L51">
        <f>VLOOKUP(K51, UserCodes!A:B, 2, FALSE)</f>
        <v/>
      </c>
    </row>
    <row r="52">
      <c r="A52" t="inlineStr">
        <is>
          <t>Abdi, Safia</t>
        </is>
      </c>
      <c r="B52" s="3" t="n">
        <v>46007</v>
      </c>
      <c r="C52" t="inlineStr">
        <is>
          <t>04:00 PM - 07:00 PM</t>
        </is>
      </c>
      <c r="D52" t="inlineStr">
        <is>
          <t>03:00</t>
        </is>
      </c>
      <c r="E52">
        <f>HOUR(D52)+MINUTE(D52)/100</f>
        <v/>
      </c>
      <c r="F52">
        <f>ROUND(INT(E52) + (E52 - INT(E52)) * 100 / 60, 2)</f>
        <v/>
      </c>
      <c r="G52">
        <f>E52*4</f>
        <v/>
      </c>
      <c r="H52">
        <f>LET(total, INT(E52)*60 + (E52-INT(E52))*100, blocks, QUOTIENT(total, 15), extra, MOD(total, 15), units, blocks + IF(extra&gt;=8, 1, 0), units)</f>
        <v/>
      </c>
      <c r="J52">
        <f>IF(L52="Level 1", VLOOKUP(I52, UserCodes!E:F, 2, FALSE) * H52, IF(L52="Level 2", VLOOKUP(I52, UserCodes!E:F, 2, FALSE) * H52 * 0.8, 0))</f>
        <v/>
      </c>
      <c r="K52" t="inlineStr">
        <is>
          <t>Noor, Kamilo</t>
        </is>
      </c>
      <c r="L52">
        <f>VLOOKUP(K52, UserCodes!A:B, 2, FALSE)</f>
        <v/>
      </c>
    </row>
    <row r="53">
      <c r="A53" t="inlineStr">
        <is>
          <t>Abdi, Safia</t>
        </is>
      </c>
      <c r="B53" s="3" t="n">
        <v>46007</v>
      </c>
      <c r="C53" t="inlineStr">
        <is>
          <t>03:00 PM - 04:00 PM</t>
        </is>
      </c>
      <c r="D53" t="inlineStr">
        <is>
          <t>01:00</t>
        </is>
      </c>
      <c r="E53">
        <f>HOUR(D53)+MINUTE(D53)/100</f>
        <v/>
      </c>
      <c r="F53">
        <f>ROUND(INT(E53) + (E53 - INT(E53)) * 100 / 60, 2)</f>
        <v/>
      </c>
      <c r="G53">
        <f>E53*4</f>
        <v/>
      </c>
      <c r="H53">
        <f>LET(total, INT(E53)*60 + (E53-INT(E53))*100, blocks, QUOTIENT(total, 15), extra, MOD(total, 15), units, blocks + IF(extra&gt;=8, 1, 0), units)</f>
        <v/>
      </c>
      <c r="J53">
        <f>IF(L53="Level 1", VLOOKUP(I53, UserCodes!E:F, 2, FALSE) * H53, IF(L53="Level 2", VLOOKUP(I53, UserCodes!E:F, 2, FALSE) * H53 * 0.8, 0))</f>
        <v/>
      </c>
      <c r="K53" t="inlineStr">
        <is>
          <t>Noor, Kamilo</t>
        </is>
      </c>
      <c r="L53">
        <f>VLOOKUP(K53, UserCodes!A:B, 2, FALSE)</f>
        <v/>
      </c>
    </row>
    <row r="54">
      <c r="A54" t="inlineStr">
        <is>
          <t>Abdi, Safia</t>
        </is>
      </c>
      <c r="B54" s="3" t="n">
        <v>46006</v>
      </c>
      <c r="C54" t="inlineStr">
        <is>
          <t>04:00 PM - 07:00 PM</t>
        </is>
      </c>
      <c r="D54" t="inlineStr">
        <is>
          <t>03:00</t>
        </is>
      </c>
      <c r="E54">
        <f>HOUR(D54)+MINUTE(D54)/100</f>
        <v/>
      </c>
      <c r="F54">
        <f>ROUND(INT(E54) + (E54 - INT(E54)) * 100 / 60, 2)</f>
        <v/>
      </c>
      <c r="G54">
        <f>E54*4</f>
        <v/>
      </c>
      <c r="H54">
        <f>LET(total, INT(E54)*60 + (E54-INT(E54))*100, blocks, QUOTIENT(total, 15), extra, MOD(total, 15), units, blocks + IF(extra&gt;=8, 1, 0), units)</f>
        <v/>
      </c>
      <c r="J54">
        <f>IF(L54="Level 1", VLOOKUP(I54, UserCodes!E:F, 2, FALSE) * H54, IF(L54="Level 2", VLOOKUP(I54, UserCodes!E:F, 2, FALSE) * H54 * 0.8, 0))</f>
        <v/>
      </c>
      <c r="K54" t="inlineStr">
        <is>
          <t>Muse, Adna</t>
        </is>
      </c>
      <c r="L54">
        <f>VLOOKUP(K54, UserCodes!A:B, 2, FALSE)</f>
        <v/>
      </c>
    </row>
    <row r="55">
      <c r="A55" t="inlineStr">
        <is>
          <t>Abdi, Safia</t>
        </is>
      </c>
      <c r="B55" s="3" t="n">
        <v>46006</v>
      </c>
      <c r="C55" t="inlineStr">
        <is>
          <t>03:15 PM - 08:00 PM</t>
        </is>
      </c>
      <c r="D55" t="inlineStr">
        <is>
          <t>04:45</t>
        </is>
      </c>
      <c r="E55">
        <f>HOUR(D55)+MINUTE(D55)/100</f>
        <v/>
      </c>
      <c r="F55">
        <f>ROUND(INT(E55) + (E55 - INT(E55)) * 100 / 60, 2)</f>
        <v/>
      </c>
      <c r="G55">
        <f>E55*4</f>
        <v/>
      </c>
      <c r="H55">
        <f>LET(total, INT(E55)*60 + (E55-INT(E55))*100, blocks, QUOTIENT(total, 15), extra, MOD(total, 15), units, blocks + IF(extra&gt;=8, 1, 0), units)</f>
        <v/>
      </c>
      <c r="J55">
        <f>IF(L55="Level 1", VLOOKUP(I55, UserCodes!E:F, 2, FALSE) * H55, IF(L55="Level 2", VLOOKUP(I55, UserCodes!E:F, 2, FALSE) * H55 * 0.8, 0))</f>
        <v/>
      </c>
      <c r="K55" t="inlineStr">
        <is>
          <t>Muse, Nawaal</t>
        </is>
      </c>
      <c r="L55">
        <f>VLOOKUP(K55, UserCodes!A:B, 2, FALSE)</f>
        <v/>
      </c>
    </row>
    <row r="56">
      <c r="A56" t="inlineStr">
        <is>
          <t>Abdi, Safia</t>
        </is>
      </c>
      <c r="B56" s="3" t="n">
        <v>46004</v>
      </c>
      <c r="C56" t="inlineStr">
        <is>
          <t>03:00 PM - 06:00 PM</t>
        </is>
      </c>
      <c r="D56" t="inlineStr">
        <is>
          <t>03:00</t>
        </is>
      </c>
      <c r="E56">
        <f>HOUR(D56)+MINUTE(D56)/100</f>
        <v/>
      </c>
      <c r="F56">
        <f>ROUND(INT(E56) + (E56 - INT(E56)) * 100 / 60, 2)</f>
        <v/>
      </c>
      <c r="G56">
        <f>E56*4</f>
        <v/>
      </c>
      <c r="H56">
        <f>LET(total, INT(E56)*60 + (E56-INT(E56))*100, blocks, QUOTIENT(total, 15), extra, MOD(total, 15), units, blocks + IF(extra&gt;=8, 1, 0), units)</f>
        <v/>
      </c>
      <c r="J56">
        <f>IF(L56="Level 1", VLOOKUP(I56, UserCodes!E:F, 2, FALSE) * H56, IF(L56="Level 2", VLOOKUP(I56, UserCodes!E:F, 2, FALSE) * H56 * 0.8, 0))</f>
        <v/>
      </c>
      <c r="K56" t="inlineStr">
        <is>
          <t>Muse, Ayni</t>
        </is>
      </c>
      <c r="L56">
        <f>VLOOKUP(K56, UserCodes!A:B, 2, FALSE)</f>
        <v/>
      </c>
    </row>
    <row r="57">
      <c r="A57" t="inlineStr">
        <is>
          <t>Abdi, Safia</t>
        </is>
      </c>
      <c r="B57" s="3" t="n">
        <v>46004</v>
      </c>
      <c r="C57" t="inlineStr">
        <is>
          <t>03:00 PM - 06:00 PM</t>
        </is>
      </c>
      <c r="D57" t="inlineStr">
        <is>
          <t>03:00</t>
        </is>
      </c>
      <c r="E57">
        <f>HOUR(D57)+MINUTE(D57)/100</f>
        <v/>
      </c>
      <c r="F57">
        <f>ROUND(INT(E57) + (E57 - INT(E57)) * 100 / 60, 2)</f>
        <v/>
      </c>
      <c r="G57">
        <f>E57*4</f>
        <v/>
      </c>
      <c r="H57">
        <f>LET(total, INT(E57)*60 + (E57-INT(E57))*100, blocks, QUOTIENT(total, 15), extra, MOD(total, 15), units, blocks + IF(extra&gt;=8, 1, 0), units)</f>
        <v/>
      </c>
      <c r="J57">
        <f>IF(L57="Level 1", VLOOKUP(I57, UserCodes!E:F, 2, FALSE) * H57, IF(L57="Level 2", VLOOKUP(I57, UserCodes!E:F, 2, FALSE) * H57 * 0.8, 0))</f>
        <v/>
      </c>
      <c r="K57" t="inlineStr">
        <is>
          <t>Osman, Basra</t>
        </is>
      </c>
      <c r="L57">
        <f>VLOOKUP(K57, UserCodes!A:B, 2, FALSE)</f>
        <v/>
      </c>
    </row>
    <row r="58">
      <c r="A58" t="inlineStr">
        <is>
          <t>Abdi, Safia</t>
        </is>
      </c>
      <c r="B58" s="3" t="n">
        <v>46004</v>
      </c>
      <c r="C58" t="inlineStr">
        <is>
          <t>10:00 AM - 03:00 PM</t>
        </is>
      </c>
      <c r="D58" t="inlineStr">
        <is>
          <t>05:00</t>
        </is>
      </c>
      <c r="E58">
        <f>HOUR(D58)+MINUTE(D58)/100</f>
        <v/>
      </c>
      <c r="F58">
        <f>ROUND(INT(E58) + (E58 - INT(E58)) * 100 / 60, 2)</f>
        <v/>
      </c>
      <c r="G58">
        <f>E58*4</f>
        <v/>
      </c>
      <c r="H58">
        <f>LET(total, INT(E58)*60 + (E58-INT(E58))*100, blocks, QUOTIENT(total, 15), extra, MOD(total, 15), units, blocks + IF(extra&gt;=8, 1, 0), units)</f>
        <v/>
      </c>
      <c r="J58">
        <f>IF(L58="Level 1", VLOOKUP(I58, UserCodes!E:F, 2, FALSE) * H58, IF(L58="Level 2", VLOOKUP(I58, UserCodes!E:F, 2, FALSE) * H58 * 0.8, 0))</f>
        <v/>
      </c>
      <c r="K58" t="inlineStr">
        <is>
          <t>Osman, Basra</t>
        </is>
      </c>
      <c r="L58">
        <f>VLOOKUP(K58, UserCodes!A:B, 2, FALSE)</f>
        <v/>
      </c>
    </row>
    <row r="59">
      <c r="A59" t="inlineStr">
        <is>
          <t>Abdi, Safia</t>
        </is>
      </c>
      <c r="B59" s="3" t="n">
        <v>46004</v>
      </c>
      <c r="C59" t="inlineStr">
        <is>
          <t>09:00 AM - 11:30 AM</t>
        </is>
      </c>
      <c r="D59" t="inlineStr">
        <is>
          <t>02:30</t>
        </is>
      </c>
      <c r="E59">
        <f>HOUR(D59)+MINUTE(D59)/100</f>
        <v/>
      </c>
      <c r="F59">
        <f>ROUND(INT(E59) + (E59 - INT(E59)) * 100 / 60, 2)</f>
        <v/>
      </c>
      <c r="G59">
        <f>E59*4</f>
        <v/>
      </c>
      <c r="H59">
        <f>LET(total, INT(E59)*60 + (E59-INT(E59))*100, blocks, QUOTIENT(total, 15), extra, MOD(total, 15), units, blocks + IF(extra&gt;=8, 1, 0), units)</f>
        <v/>
      </c>
      <c r="J59">
        <f>IF(L59="Level 1", VLOOKUP(I59, UserCodes!E:F, 2, FALSE) * H59, IF(L59="Level 2", VLOOKUP(I59, UserCodes!E:F, 2, FALSE) * H59 * 0.8, 0))</f>
        <v/>
      </c>
      <c r="K59" t="inlineStr">
        <is>
          <t>Ahmed, Jama</t>
        </is>
      </c>
      <c r="L59">
        <f>VLOOKUP(K59, UserCodes!A:B, 2, FALSE)</f>
        <v/>
      </c>
    </row>
    <row r="60">
      <c r="A60" t="inlineStr">
        <is>
          <t>Abdi, Safia</t>
        </is>
      </c>
      <c r="B60" s="3" t="n">
        <v>46003</v>
      </c>
      <c r="C60" t="inlineStr">
        <is>
          <t>04:00 PM - 05:00 PM</t>
        </is>
      </c>
      <c r="D60" t="inlineStr">
        <is>
          <t>01:00</t>
        </is>
      </c>
      <c r="E60">
        <f>HOUR(D60)+MINUTE(D60)/100</f>
        <v/>
      </c>
      <c r="F60">
        <f>ROUND(INT(E60) + (E60 - INT(E60)) * 100 / 60, 2)</f>
        <v/>
      </c>
      <c r="G60">
        <f>E60*4</f>
        <v/>
      </c>
      <c r="H60">
        <f>LET(total, INT(E60)*60 + (E60-INT(E60))*100, blocks, QUOTIENT(total, 15), extra, MOD(total, 15), units, blocks + IF(extra&gt;=8, 1, 0), units)</f>
        <v/>
      </c>
      <c r="J60">
        <f>IF(L60="Level 1", VLOOKUP(I60, UserCodes!E:F, 2, FALSE) * H60, IF(L60="Level 2", VLOOKUP(I60, UserCodes!E:F, 2, FALSE) * H60 * 0.8, 0))</f>
        <v/>
      </c>
      <c r="K60" t="inlineStr">
        <is>
          <t>El-Tay, Dr. Ismael</t>
        </is>
      </c>
      <c r="L60">
        <f>VLOOKUP(K60, UserCodes!A:B, 2, FALSE)</f>
        <v/>
      </c>
    </row>
    <row r="61">
      <c r="A61" t="inlineStr">
        <is>
          <t>Abdi, Safia</t>
        </is>
      </c>
      <c r="B61" s="3" t="n">
        <v>46003</v>
      </c>
      <c r="C61" t="inlineStr">
        <is>
          <t>03:30 PM - 08:00 PM</t>
        </is>
      </c>
      <c r="D61" t="inlineStr">
        <is>
          <t>04:30</t>
        </is>
      </c>
      <c r="E61">
        <f>HOUR(D61)+MINUTE(D61)/100</f>
        <v/>
      </c>
      <c r="F61">
        <f>ROUND(INT(E61) + (E61 - INT(E61)) * 100 / 60, 2)</f>
        <v/>
      </c>
      <c r="G61">
        <f>E61*4</f>
        <v/>
      </c>
      <c r="H61">
        <f>LET(total, INT(E61)*60 + (E61-INT(E61))*100, blocks, QUOTIENT(total, 15), extra, MOD(total, 15), units, blocks + IF(extra&gt;=8, 1, 0), units)</f>
        <v/>
      </c>
      <c r="J61">
        <f>IF(L61="Level 1", VLOOKUP(I61, UserCodes!E:F, 2, FALSE) * H61, IF(L61="Level 2", VLOOKUP(I61, UserCodes!E:F, 2, FALSE) * H61 * 0.8, 0))</f>
        <v/>
      </c>
      <c r="K61" t="inlineStr">
        <is>
          <t>Muse, Nawaal</t>
        </is>
      </c>
      <c r="L61">
        <f>VLOOKUP(K61, UserCodes!A:B, 2, FALSE)</f>
        <v/>
      </c>
    </row>
    <row r="62">
      <c r="A62" t="inlineStr">
        <is>
          <t>Abdi, Safia</t>
        </is>
      </c>
      <c r="B62" s="3" t="n">
        <v>46003</v>
      </c>
      <c r="C62" t="inlineStr">
        <is>
          <t>03:30 PM - 06:15 PM</t>
        </is>
      </c>
      <c r="D62" t="inlineStr">
        <is>
          <t>02:45</t>
        </is>
      </c>
      <c r="E62">
        <f>HOUR(D62)+MINUTE(D62)/100</f>
        <v/>
      </c>
      <c r="F62">
        <f>ROUND(INT(E62) + (E62 - INT(E62)) * 100 / 60, 2)</f>
        <v/>
      </c>
      <c r="G62">
        <f>E62*4</f>
        <v/>
      </c>
      <c r="H62">
        <f>LET(total, INT(E62)*60 + (E62-INT(E62))*100, blocks, QUOTIENT(total, 15), extra, MOD(total, 15), units, blocks + IF(extra&gt;=8, 1, 0), units)</f>
        <v/>
      </c>
      <c r="J62">
        <f>IF(L62="Level 1", VLOOKUP(I62, UserCodes!E:F, 2, FALSE) * H62, IF(L62="Level 2", VLOOKUP(I62, UserCodes!E:F, 2, FALSE) * H62 * 0.8, 0))</f>
        <v/>
      </c>
      <c r="K62" t="inlineStr">
        <is>
          <t>Muse, Adna</t>
        </is>
      </c>
      <c r="L62">
        <f>VLOOKUP(K62, UserCodes!A:B, 2, FALSE)</f>
        <v/>
      </c>
    </row>
    <row r="63">
      <c r="A63" t="inlineStr">
        <is>
          <t>Abdi, Safia</t>
        </is>
      </c>
      <c r="B63" s="3" t="n">
        <v>46002</v>
      </c>
      <c r="C63" t="inlineStr">
        <is>
          <t>05:00 PM - 08:00 PM</t>
        </is>
      </c>
      <c r="D63" t="inlineStr">
        <is>
          <t>03:00</t>
        </is>
      </c>
      <c r="E63">
        <f>HOUR(D63)+MINUTE(D63)/100</f>
        <v/>
      </c>
      <c r="F63">
        <f>ROUND(INT(E63) + (E63 - INT(E63)) * 100 / 60, 2)</f>
        <v/>
      </c>
      <c r="G63">
        <f>E63*4</f>
        <v/>
      </c>
      <c r="H63">
        <f>LET(total, INT(E63)*60 + (E63-INT(E63))*100, blocks, QUOTIENT(total, 15), extra, MOD(total, 15), units, blocks + IF(extra&gt;=8, 1, 0), units)</f>
        <v/>
      </c>
      <c r="J63">
        <f>IF(L63="Level 1", VLOOKUP(I63, UserCodes!E:F, 2, FALSE) * H63, IF(L63="Level 2", VLOOKUP(I63, UserCodes!E:F, 2, FALSE) * H63 * 0.8, 0))</f>
        <v/>
      </c>
      <c r="K63" t="inlineStr">
        <is>
          <t>Muse, Adna</t>
        </is>
      </c>
      <c r="L63">
        <f>VLOOKUP(K63, UserCodes!A:B, 2, FALSE)</f>
        <v/>
      </c>
    </row>
    <row r="64">
      <c r="A64" t="inlineStr">
        <is>
          <t>Abdi, Safia</t>
        </is>
      </c>
      <c r="B64" s="3" t="n">
        <v>46002</v>
      </c>
      <c r="C64" t="inlineStr">
        <is>
          <t>03:00 PM - 08:00 PM</t>
        </is>
      </c>
      <c r="D64" t="inlineStr">
        <is>
          <t>05:00</t>
        </is>
      </c>
      <c r="E64">
        <f>HOUR(D64)+MINUTE(D64)/100</f>
        <v/>
      </c>
      <c r="F64">
        <f>ROUND(INT(E64) + (E64 - INT(E64)) * 100 / 60, 2)</f>
        <v/>
      </c>
      <c r="G64">
        <f>E64*4</f>
        <v/>
      </c>
      <c r="H64">
        <f>LET(total, INT(E64)*60 + (E64-INT(E64))*100, blocks, QUOTIENT(total, 15), extra, MOD(total, 15), units, blocks + IF(extra&gt;=8, 1, 0), units)</f>
        <v/>
      </c>
      <c r="J64">
        <f>IF(L64="Level 1", VLOOKUP(I64, UserCodes!E:F, 2, FALSE) * H64, IF(L64="Level 2", VLOOKUP(I64, UserCodes!E:F, 2, FALSE) * H64 * 0.8, 0))</f>
        <v/>
      </c>
      <c r="K64" t="inlineStr">
        <is>
          <t>Muse, Ayni</t>
        </is>
      </c>
      <c r="L64">
        <f>VLOOKUP(K64, UserCodes!A:B, 2, FALSE)</f>
        <v/>
      </c>
    </row>
    <row r="65">
      <c r="A65" t="inlineStr">
        <is>
          <t>Abdi, Safia</t>
        </is>
      </c>
      <c r="B65" s="3" t="n">
        <v>46002</v>
      </c>
      <c r="C65" t="inlineStr">
        <is>
          <t>01:28 PM - 03:50 PM</t>
        </is>
      </c>
      <c r="D65" t="inlineStr">
        <is>
          <t>02:22</t>
        </is>
      </c>
      <c r="E65">
        <f>HOUR(D65)+MINUTE(D65)/100</f>
        <v/>
      </c>
      <c r="F65">
        <f>ROUND(INT(E65) + (E65 - INT(E65)) * 100 / 60, 2)</f>
        <v/>
      </c>
      <c r="G65">
        <f>E65*4</f>
        <v/>
      </c>
      <c r="H65">
        <f>LET(total, INT(E65)*60 + (E65-INT(E65))*100, blocks, QUOTIENT(total, 15), extra, MOD(total, 15), units, blocks + IF(extra&gt;=8, 1, 0), units)</f>
        <v/>
      </c>
      <c r="J65">
        <f>IF(L65="Level 1", VLOOKUP(I65, UserCodes!E:F, 2, FALSE) * H65, IF(L65="Level 2", VLOOKUP(I65, UserCodes!E:F, 2, FALSE) * H65 * 0.8, 0))</f>
        <v/>
      </c>
      <c r="K65" t="inlineStr">
        <is>
          <t>Ahmed, Jama</t>
        </is>
      </c>
      <c r="L65">
        <f>VLOOKUP(K65, UserCodes!A:B, 2, FALSE)</f>
        <v/>
      </c>
    </row>
    <row r="66">
      <c r="A66" t="inlineStr">
        <is>
          <t>Abdi, Salman</t>
        </is>
      </c>
      <c r="B66" s="3" t="n">
        <v>46014</v>
      </c>
      <c r="C66" t="inlineStr">
        <is>
          <t>04:30 PM - 06:30 PM</t>
        </is>
      </c>
      <c r="D66" t="inlineStr">
        <is>
          <t>02:00</t>
        </is>
      </c>
      <c r="E66">
        <f>HOUR(D66)+MINUTE(D66)/100</f>
        <v/>
      </c>
      <c r="F66">
        <f>ROUND(INT(E66) + (E66 - INT(E66)) * 100 / 60, 2)</f>
        <v/>
      </c>
      <c r="G66">
        <f>E66*4</f>
        <v/>
      </c>
      <c r="H66">
        <f>LET(total, INT(E66)*60 + (E66-INT(E66))*100, blocks, QUOTIENT(total, 15), extra, MOD(total, 15), units, blocks + IF(extra&gt;=8, 1, 0), units)</f>
        <v/>
      </c>
      <c r="J66">
        <f>IF(L66="Level 1", VLOOKUP(I66, UserCodes!E:F, 2, FALSE) * H66, IF(L66="Level 2", VLOOKUP(I66, UserCodes!E:F, 2, FALSE) * H66 * 0.8, 0))</f>
        <v/>
      </c>
      <c r="K66" t="inlineStr">
        <is>
          <t>Mohamed, Madar</t>
        </is>
      </c>
      <c r="L66">
        <f>VLOOKUP(K66, UserCodes!A:B, 2, FALSE)</f>
        <v/>
      </c>
    </row>
    <row r="67">
      <c r="A67" t="inlineStr">
        <is>
          <t>Abdi, Salman</t>
        </is>
      </c>
      <c r="B67" s="3" t="n">
        <v>46014</v>
      </c>
      <c r="C67" t="inlineStr">
        <is>
          <t>09:00 AM - 11:45 AM</t>
        </is>
      </c>
      <c r="D67" t="inlineStr">
        <is>
          <t>02:45</t>
        </is>
      </c>
      <c r="E67">
        <f>HOUR(D67)+MINUTE(D67)/100</f>
        <v/>
      </c>
      <c r="F67">
        <f>ROUND(INT(E67) + (E67 - INT(E67)) * 100 / 60, 2)</f>
        <v/>
      </c>
      <c r="G67">
        <f>E67*4</f>
        <v/>
      </c>
      <c r="H67">
        <f>LET(total, INT(E67)*60 + (E67-INT(E67))*100, blocks, QUOTIENT(total, 15), extra, MOD(total, 15), units, blocks + IF(extra&gt;=8, 1, 0), units)</f>
        <v/>
      </c>
      <c r="J67">
        <f>IF(L67="Level 1", VLOOKUP(I67, UserCodes!E:F, 2, FALSE) * H67, IF(L67="Level 2", VLOOKUP(I67, UserCodes!E:F, 2, FALSE) * H67 * 0.8, 0))</f>
        <v/>
      </c>
      <c r="K67" t="inlineStr">
        <is>
          <t>Ahmed, Jama</t>
        </is>
      </c>
      <c r="L67">
        <f>VLOOKUP(K67, UserCodes!A:B, 2, FALSE)</f>
        <v/>
      </c>
    </row>
    <row r="68">
      <c r="A68" t="inlineStr">
        <is>
          <t>Abdi, Salman</t>
        </is>
      </c>
      <c r="B68" s="3" t="n">
        <v>46013</v>
      </c>
      <c r="C68" t="inlineStr">
        <is>
          <t>06:39 PM - 08:00 PM</t>
        </is>
      </c>
      <c r="D68" t="inlineStr">
        <is>
          <t>01:21</t>
        </is>
      </c>
      <c r="E68">
        <f>HOUR(D68)+MINUTE(D68)/100</f>
        <v/>
      </c>
      <c r="F68">
        <f>ROUND(INT(E68) + (E68 - INT(E68)) * 100 / 60, 2)</f>
        <v/>
      </c>
      <c r="G68">
        <f>E68*4</f>
        <v/>
      </c>
      <c r="H68">
        <f>LET(total, INT(E68)*60 + (E68-INT(E68))*100, blocks, QUOTIENT(total, 15), extra, MOD(total, 15), units, blocks + IF(extra&gt;=8, 1, 0), units)</f>
        <v/>
      </c>
      <c r="J68">
        <f>IF(L68="Level 1", VLOOKUP(I68, UserCodes!E:F, 2, FALSE) * H68, IF(L68="Level 2", VLOOKUP(I68, UserCodes!E:F, 2, FALSE) * H68 * 0.8, 0))</f>
        <v/>
      </c>
      <c r="K68" t="inlineStr">
        <is>
          <t>Omar, Mohamed</t>
        </is>
      </c>
      <c r="L68">
        <f>VLOOKUP(K68, UserCodes!A:B, 2, FALSE)</f>
        <v/>
      </c>
    </row>
    <row r="69">
      <c r="A69" t="inlineStr">
        <is>
          <t>Abdi, Salman</t>
        </is>
      </c>
      <c r="B69" s="3" t="n">
        <v>46013</v>
      </c>
      <c r="C69" t="inlineStr">
        <is>
          <t>03:00 PM - 06:00 PM</t>
        </is>
      </c>
      <c r="D69" t="inlineStr">
        <is>
          <t>03:00</t>
        </is>
      </c>
      <c r="E69">
        <f>HOUR(D69)+MINUTE(D69)/100</f>
        <v/>
      </c>
      <c r="F69">
        <f>ROUND(INT(E69) + (E69 - INT(E69)) * 100 / 60, 2)</f>
        <v/>
      </c>
      <c r="G69">
        <f>E69*4</f>
        <v/>
      </c>
      <c r="H69">
        <f>LET(total, INT(E69)*60 + (E69-INT(E69))*100, blocks, QUOTIENT(total, 15), extra, MOD(total, 15), units, blocks + IF(extra&gt;=8, 1, 0), units)</f>
        <v/>
      </c>
      <c r="J69">
        <f>IF(L69="Level 1", VLOOKUP(I69, UserCodes!E:F, 2, FALSE) * H69, IF(L69="Level 2", VLOOKUP(I69, UserCodes!E:F, 2, FALSE) * H69 * 0.8, 0))</f>
        <v/>
      </c>
      <c r="K69" t="inlineStr">
        <is>
          <t>Mohamed, Madar</t>
        </is>
      </c>
      <c r="L69">
        <f>VLOOKUP(K69, UserCodes!A:B, 2, FALSE)</f>
        <v/>
      </c>
    </row>
    <row r="70">
      <c r="A70" t="inlineStr">
        <is>
          <t>Abdi, Salman</t>
        </is>
      </c>
      <c r="B70" s="3" t="n">
        <v>46013</v>
      </c>
      <c r="C70" t="inlineStr">
        <is>
          <t>12:00 PM - 06:09 PM</t>
        </is>
      </c>
      <c r="D70" t="inlineStr">
        <is>
          <t>06:09</t>
        </is>
      </c>
      <c r="E70">
        <f>HOUR(D70)+MINUTE(D70)/100</f>
        <v/>
      </c>
      <c r="F70">
        <f>ROUND(INT(E70) + (E70 - INT(E70)) * 100 / 60, 2)</f>
        <v/>
      </c>
      <c r="G70">
        <f>E70*4</f>
        <v/>
      </c>
      <c r="H70">
        <f>LET(total, INT(E70)*60 + (E70-INT(E70))*100, blocks, QUOTIENT(total, 15), extra, MOD(total, 15), units, blocks + IF(extra&gt;=8, 1, 0), units)</f>
        <v/>
      </c>
      <c r="J70">
        <f>IF(L70="Level 1", VLOOKUP(I70, UserCodes!E:F, 2, FALSE) * H70, IF(L70="Level 2", VLOOKUP(I70, UserCodes!E:F, 2, FALSE) * H70 * 0.8, 0))</f>
        <v/>
      </c>
      <c r="K70" t="inlineStr">
        <is>
          <t>Omar, Mohamed</t>
        </is>
      </c>
      <c r="L70">
        <f>VLOOKUP(K70, UserCodes!A:B, 2, FALSE)</f>
        <v/>
      </c>
    </row>
    <row r="71">
      <c r="A71" t="inlineStr">
        <is>
          <t>Abdi, Salman</t>
        </is>
      </c>
      <c r="B71" s="3" t="n">
        <v>46009</v>
      </c>
      <c r="C71" t="inlineStr">
        <is>
          <t>04:30 PM - 06:30 PM</t>
        </is>
      </c>
      <c r="D71" t="inlineStr">
        <is>
          <t>02:00</t>
        </is>
      </c>
      <c r="E71">
        <f>HOUR(D71)+MINUTE(D71)/100</f>
        <v/>
      </c>
      <c r="F71">
        <f>ROUND(INT(E71) + (E71 - INT(E71)) * 100 / 60, 2)</f>
        <v/>
      </c>
      <c r="G71">
        <f>E71*4</f>
        <v/>
      </c>
      <c r="H71">
        <f>LET(total, INT(E71)*60 + (E71-INT(E71))*100, blocks, QUOTIENT(total, 15), extra, MOD(total, 15), units, blocks + IF(extra&gt;=8, 1, 0), units)</f>
        <v/>
      </c>
      <c r="J71">
        <f>IF(L71="Level 1", VLOOKUP(I71, UserCodes!E:F, 2, FALSE) * H71, IF(L71="Level 2", VLOOKUP(I71, UserCodes!E:F, 2, FALSE) * H71 * 0.8, 0))</f>
        <v/>
      </c>
      <c r="K71" t="inlineStr">
        <is>
          <t>Mohamed, Madar</t>
        </is>
      </c>
      <c r="L71">
        <f>VLOOKUP(K71, UserCodes!A:B, 2, FALSE)</f>
        <v/>
      </c>
    </row>
    <row r="72">
      <c r="A72" t="inlineStr">
        <is>
          <t>Abdi, Salman</t>
        </is>
      </c>
      <c r="B72" s="3" t="n">
        <v>46009</v>
      </c>
      <c r="C72" t="inlineStr">
        <is>
          <t>03:15 PM - 08:00 PM</t>
        </is>
      </c>
      <c r="D72" t="inlineStr">
        <is>
          <t>04:45</t>
        </is>
      </c>
      <c r="E72">
        <f>HOUR(D72)+MINUTE(D72)/100</f>
        <v/>
      </c>
      <c r="F72">
        <f>ROUND(INT(E72) + (E72 - INT(E72)) * 100 / 60, 2)</f>
        <v/>
      </c>
      <c r="G72">
        <f>E72*4</f>
        <v/>
      </c>
      <c r="H72">
        <f>LET(total, INT(E72)*60 + (E72-INT(E72))*100, blocks, QUOTIENT(total, 15), extra, MOD(total, 15), units, blocks + IF(extra&gt;=8, 1, 0), units)</f>
        <v/>
      </c>
      <c r="J72">
        <f>IF(L72="Level 1", VLOOKUP(I72, UserCodes!E:F, 2, FALSE) * H72, IF(L72="Level 2", VLOOKUP(I72, UserCodes!E:F, 2, FALSE) * H72 * 0.8, 0))</f>
        <v/>
      </c>
      <c r="K72" t="inlineStr">
        <is>
          <t>Mohamed, Mohamed</t>
        </is>
      </c>
      <c r="L72">
        <f>VLOOKUP(K72, UserCodes!A:B, 2, FALSE)</f>
        <v/>
      </c>
    </row>
    <row r="73">
      <c r="A73" t="inlineStr">
        <is>
          <t>Abdi, Salman</t>
        </is>
      </c>
      <c r="B73" s="3" t="n">
        <v>46008</v>
      </c>
      <c r="C73" t="inlineStr">
        <is>
          <t>05:00 PM - 08:00 PM</t>
        </is>
      </c>
      <c r="D73" t="inlineStr">
        <is>
          <t>03:00</t>
        </is>
      </c>
      <c r="E73">
        <f>HOUR(D73)+MINUTE(D73)/100</f>
        <v/>
      </c>
      <c r="F73">
        <f>ROUND(INT(E73) + (E73 - INT(E73)) * 100 / 60, 2)</f>
        <v/>
      </c>
      <c r="G73">
        <f>E73*4</f>
        <v/>
      </c>
      <c r="H73">
        <f>LET(total, INT(E73)*60 + (E73-INT(E73))*100, blocks, QUOTIENT(total, 15), extra, MOD(total, 15), units, blocks + IF(extra&gt;=8, 1, 0), units)</f>
        <v/>
      </c>
      <c r="J73">
        <f>IF(L73="Level 1", VLOOKUP(I73, UserCodes!E:F, 2, FALSE) * H73, IF(L73="Level 2", VLOOKUP(I73, UserCodes!E:F, 2, FALSE) * H73 * 0.8, 0))</f>
        <v/>
      </c>
      <c r="K73" t="inlineStr">
        <is>
          <t>Osman, Basra</t>
        </is>
      </c>
      <c r="L73">
        <f>VLOOKUP(K73, UserCodes!A:B, 2, FALSE)</f>
        <v/>
      </c>
    </row>
    <row r="74">
      <c r="A74" t="inlineStr">
        <is>
          <t>Abdi, Salman</t>
        </is>
      </c>
      <c r="B74" s="3" t="n">
        <v>46008</v>
      </c>
      <c r="C74" t="inlineStr">
        <is>
          <t>03:15 PM - 08:00 PM</t>
        </is>
      </c>
      <c r="D74" t="inlineStr">
        <is>
          <t>04:45</t>
        </is>
      </c>
      <c r="E74">
        <f>HOUR(D74)+MINUTE(D74)/100</f>
        <v/>
      </c>
      <c r="F74">
        <f>ROUND(INT(E74) + (E74 - INT(E74)) * 100 / 60, 2)</f>
        <v/>
      </c>
      <c r="G74">
        <f>E74*4</f>
        <v/>
      </c>
      <c r="H74">
        <f>LET(total, INT(E74)*60 + (E74-INT(E74))*100, blocks, QUOTIENT(total, 15), extra, MOD(total, 15), units, blocks + IF(extra&gt;=8, 1, 0), units)</f>
        <v/>
      </c>
      <c r="J74">
        <f>IF(L74="Level 1", VLOOKUP(I74, UserCodes!E:F, 2, FALSE) * H74, IF(L74="Level 2", VLOOKUP(I74, UserCodes!E:F, 2, FALSE) * H74 * 0.8, 0))</f>
        <v/>
      </c>
      <c r="K74" t="inlineStr">
        <is>
          <t>Mohamed, Mohamed</t>
        </is>
      </c>
      <c r="L74">
        <f>VLOOKUP(K74, UserCodes!A:B, 2, FALSE)</f>
        <v/>
      </c>
    </row>
    <row r="75">
      <c r="A75" t="inlineStr">
        <is>
          <t>Abdi, Salman</t>
        </is>
      </c>
      <c r="B75" s="3" t="n">
        <v>46007</v>
      </c>
      <c r="C75" t="inlineStr">
        <is>
          <t>07:00 PM - 08:00 PM</t>
        </is>
      </c>
      <c r="D75" t="inlineStr">
        <is>
          <t>01:00</t>
        </is>
      </c>
      <c r="E75">
        <f>HOUR(D75)+MINUTE(D75)/100</f>
        <v/>
      </c>
      <c r="F75">
        <f>ROUND(INT(E75) + (E75 - INT(E75)) * 100 / 60, 2)</f>
        <v/>
      </c>
      <c r="G75">
        <f>E75*4</f>
        <v/>
      </c>
      <c r="H75">
        <f>LET(total, INT(E75)*60 + (E75-INT(E75))*100, blocks, QUOTIENT(total, 15), extra, MOD(total, 15), units, blocks + IF(extra&gt;=8, 1, 0), units)</f>
        <v/>
      </c>
      <c r="J75">
        <f>IF(L75="Level 1", VLOOKUP(I75, UserCodes!E:F, 2, FALSE) * H75, IF(L75="Level 2", VLOOKUP(I75, UserCodes!E:F, 2, FALSE) * H75 * 0.8, 0))</f>
        <v/>
      </c>
      <c r="K75" t="inlineStr">
        <is>
          <t>Noor, Kamilo</t>
        </is>
      </c>
      <c r="L75">
        <f>VLOOKUP(K75, UserCodes!A:B, 2, FALSE)</f>
        <v/>
      </c>
    </row>
    <row r="76">
      <c r="A76" t="inlineStr">
        <is>
          <t>Abdi, Salman</t>
        </is>
      </c>
      <c r="B76" s="3" t="n">
        <v>46007</v>
      </c>
      <c r="C76" t="inlineStr">
        <is>
          <t>04:00 PM - 06:00 PM</t>
        </is>
      </c>
      <c r="D76" t="inlineStr">
        <is>
          <t>02:00</t>
        </is>
      </c>
      <c r="E76">
        <f>HOUR(D76)+MINUTE(D76)/100</f>
        <v/>
      </c>
      <c r="F76">
        <f>ROUND(INT(E76) + (E76 - INT(E76)) * 100 / 60, 2)</f>
        <v/>
      </c>
      <c r="G76">
        <f>E76*4</f>
        <v/>
      </c>
      <c r="H76">
        <f>LET(total, INT(E76)*60 + (E76-INT(E76))*100, blocks, QUOTIENT(total, 15), extra, MOD(total, 15), units, blocks + IF(extra&gt;=8, 1, 0), units)</f>
        <v/>
      </c>
      <c r="J76">
        <f>IF(L76="Level 1", VLOOKUP(I76, UserCodes!E:F, 2, FALSE) * H76, IF(L76="Level 2", VLOOKUP(I76, UserCodes!E:F, 2, FALSE) * H76 * 0.8, 0))</f>
        <v/>
      </c>
      <c r="K76" t="inlineStr">
        <is>
          <t>Mohamed, Madar</t>
        </is>
      </c>
      <c r="L76">
        <f>VLOOKUP(K76, UserCodes!A:B, 2, FALSE)</f>
        <v/>
      </c>
    </row>
    <row r="77">
      <c r="A77" t="inlineStr">
        <is>
          <t>Abdi, Salman</t>
        </is>
      </c>
      <c r="B77" s="3" t="n">
        <v>46007</v>
      </c>
      <c r="C77" t="inlineStr">
        <is>
          <t>03:15 PM - 08:15 PM</t>
        </is>
      </c>
      <c r="D77" t="inlineStr">
        <is>
          <t>05:00</t>
        </is>
      </c>
      <c r="E77">
        <f>HOUR(D77)+MINUTE(D77)/100</f>
        <v/>
      </c>
      <c r="F77">
        <f>ROUND(INT(E77) + (E77 - INT(E77)) * 100 / 60, 2)</f>
        <v/>
      </c>
      <c r="G77">
        <f>E77*4</f>
        <v/>
      </c>
      <c r="H77">
        <f>LET(total, INT(E77)*60 + (E77-INT(E77))*100, blocks, QUOTIENT(total, 15), extra, MOD(total, 15), units, blocks + IF(extra&gt;=8, 1, 0), units)</f>
        <v/>
      </c>
      <c r="J77">
        <f>IF(L77="Level 1", VLOOKUP(I77, UserCodes!E:F, 2, FALSE) * H77, IF(L77="Level 2", VLOOKUP(I77, UserCodes!E:F, 2, FALSE) * H77 * 0.8, 0))</f>
        <v/>
      </c>
      <c r="K77" t="inlineStr">
        <is>
          <t>Omar, Mohamed</t>
        </is>
      </c>
      <c r="L77">
        <f>VLOOKUP(K77, UserCodes!A:B, 2, FALSE)</f>
        <v/>
      </c>
    </row>
    <row r="78">
      <c r="A78" t="inlineStr">
        <is>
          <t>Abdi, Salman</t>
        </is>
      </c>
      <c r="B78" s="3" t="n">
        <v>46006</v>
      </c>
      <c r="C78" t="inlineStr">
        <is>
          <t>07:00 PM - 08:00 PM</t>
        </is>
      </c>
      <c r="D78" t="inlineStr">
        <is>
          <t>01:00</t>
        </is>
      </c>
      <c r="E78">
        <f>HOUR(D78)+MINUTE(D78)/100</f>
        <v/>
      </c>
      <c r="F78">
        <f>ROUND(INT(E78) + (E78 - INT(E78)) * 100 / 60, 2)</f>
        <v/>
      </c>
      <c r="G78">
        <f>E78*4</f>
        <v/>
      </c>
      <c r="H78">
        <f>LET(total, INT(E78)*60 + (E78-INT(E78))*100, blocks, QUOTIENT(total, 15), extra, MOD(total, 15), units, blocks + IF(extra&gt;=8, 1, 0), units)</f>
        <v/>
      </c>
      <c r="J78">
        <f>IF(L78="Level 1", VLOOKUP(I78, UserCodes!E:F, 2, FALSE) * H78, IF(L78="Level 2", VLOOKUP(I78, UserCodes!E:F, 2, FALSE) * H78 * 0.8, 0))</f>
        <v/>
      </c>
      <c r="K78" t="inlineStr">
        <is>
          <t>Muse, Ayni</t>
        </is>
      </c>
      <c r="L78">
        <f>VLOOKUP(K78, UserCodes!A:B, 2, FALSE)</f>
        <v/>
      </c>
    </row>
    <row r="79">
      <c r="A79" t="inlineStr">
        <is>
          <t>Abdi, Salman</t>
        </is>
      </c>
      <c r="B79" s="3" t="n">
        <v>46006</v>
      </c>
      <c r="C79" t="inlineStr">
        <is>
          <t>03:15 PM - 08:00 PM</t>
        </is>
      </c>
      <c r="D79" t="inlineStr">
        <is>
          <t>04:45</t>
        </is>
      </c>
      <c r="E79">
        <f>HOUR(D79)+MINUTE(D79)/100</f>
        <v/>
      </c>
      <c r="F79">
        <f>ROUND(INT(E79) + (E79 - INT(E79)) * 100 / 60, 2)</f>
        <v/>
      </c>
      <c r="G79">
        <f>E79*4</f>
        <v/>
      </c>
      <c r="H79">
        <f>LET(total, INT(E79)*60 + (E79-INT(E79))*100, blocks, QUOTIENT(total, 15), extra, MOD(total, 15), units, blocks + IF(extra&gt;=8, 1, 0), units)</f>
        <v/>
      </c>
      <c r="J79">
        <f>IF(L79="Level 1", VLOOKUP(I79, UserCodes!E:F, 2, FALSE) * H79, IF(L79="Level 2", VLOOKUP(I79, UserCodes!E:F, 2, FALSE) * H79 * 0.8, 0))</f>
        <v/>
      </c>
      <c r="K79" t="inlineStr">
        <is>
          <t>Mohamed, Mohamed</t>
        </is>
      </c>
      <c r="L79">
        <f>VLOOKUP(K79, UserCodes!A:B, 2, FALSE)</f>
        <v/>
      </c>
    </row>
    <row r="80">
      <c r="A80" t="inlineStr">
        <is>
          <t>Abdi, Salman</t>
        </is>
      </c>
      <c r="B80" s="3" t="n">
        <v>46003</v>
      </c>
      <c r="C80" t="inlineStr">
        <is>
          <t>03:15 PM - 08:00 PM</t>
        </is>
      </c>
      <c r="D80" t="inlineStr">
        <is>
          <t>04:45</t>
        </is>
      </c>
      <c r="E80">
        <f>HOUR(D80)+MINUTE(D80)/100</f>
        <v/>
      </c>
      <c r="F80">
        <f>ROUND(INT(E80) + (E80 - INT(E80)) * 100 / 60, 2)</f>
        <v/>
      </c>
      <c r="G80">
        <f>E80*4</f>
        <v/>
      </c>
      <c r="H80">
        <f>LET(total, INT(E80)*60 + (E80-INT(E80))*100, blocks, QUOTIENT(total, 15), extra, MOD(total, 15), units, blocks + IF(extra&gt;=8, 1, 0), units)</f>
        <v/>
      </c>
      <c r="J80">
        <f>IF(L80="Level 1", VLOOKUP(I80, UserCodes!E:F, 2, FALSE) * H80, IF(L80="Level 2", VLOOKUP(I80, UserCodes!E:F, 2, FALSE) * H80 * 0.8, 0))</f>
        <v/>
      </c>
      <c r="K80" t="inlineStr">
        <is>
          <t>Omar, Mohamed</t>
        </is>
      </c>
      <c r="L80">
        <f>VLOOKUP(K80, UserCodes!A:B, 2, FALSE)</f>
        <v/>
      </c>
    </row>
    <row r="81">
      <c r="A81" t="inlineStr">
        <is>
          <t>Abdi, Salman</t>
        </is>
      </c>
      <c r="B81" s="3" t="n">
        <v>46002</v>
      </c>
      <c r="C81" t="inlineStr">
        <is>
          <t>04:30 PM - 06:30 PM</t>
        </is>
      </c>
      <c r="D81" t="inlineStr">
        <is>
          <t>02:00</t>
        </is>
      </c>
      <c r="E81">
        <f>HOUR(D81)+MINUTE(D81)/100</f>
        <v/>
      </c>
      <c r="F81">
        <f>ROUND(INT(E81) + (E81 - INT(E81)) * 100 / 60, 2)</f>
        <v/>
      </c>
      <c r="G81">
        <f>E81*4</f>
        <v/>
      </c>
      <c r="H81">
        <f>LET(total, INT(E81)*60 + (E81-INT(E81))*100, blocks, QUOTIENT(total, 15), extra, MOD(total, 15), units, blocks + IF(extra&gt;=8, 1, 0), units)</f>
        <v/>
      </c>
      <c r="J81">
        <f>IF(L81="Level 1", VLOOKUP(I81, UserCodes!E:F, 2, FALSE) * H81, IF(L81="Level 2", VLOOKUP(I81, UserCodes!E:F, 2, FALSE) * H81 * 0.8, 0))</f>
        <v/>
      </c>
      <c r="K81" t="inlineStr">
        <is>
          <t>Mohamed, Madar</t>
        </is>
      </c>
      <c r="L81">
        <f>VLOOKUP(K81, UserCodes!A:B, 2, FALSE)</f>
        <v/>
      </c>
    </row>
    <row r="82">
      <c r="A82" t="inlineStr">
        <is>
          <t>Abdi, Salman</t>
        </is>
      </c>
      <c r="B82" s="3" t="n">
        <v>46002</v>
      </c>
      <c r="C82" t="inlineStr">
        <is>
          <t>03:15 PM - 08:00 PM</t>
        </is>
      </c>
      <c r="D82" t="inlineStr">
        <is>
          <t>04:45</t>
        </is>
      </c>
      <c r="E82">
        <f>HOUR(D82)+MINUTE(D82)/100</f>
        <v/>
      </c>
      <c r="F82">
        <f>ROUND(INT(E82) + (E82 - INT(E82)) * 100 / 60, 2)</f>
        <v/>
      </c>
      <c r="G82">
        <f>E82*4</f>
        <v/>
      </c>
      <c r="H82">
        <f>LET(total, INT(E82)*60 + (E82-INT(E82))*100, blocks, QUOTIENT(total, 15), extra, MOD(total, 15), units, blocks + IF(extra&gt;=8, 1, 0), units)</f>
        <v/>
      </c>
      <c r="J82">
        <f>IF(L82="Level 1", VLOOKUP(I82, UserCodes!E:F, 2, FALSE) * H82, IF(L82="Level 2", VLOOKUP(I82, UserCodes!E:F, 2, FALSE) * H82 * 0.8, 0))</f>
        <v/>
      </c>
      <c r="K82" t="inlineStr">
        <is>
          <t>Mohamed, Mohamed</t>
        </is>
      </c>
      <c r="L82">
        <f>VLOOKUP(K82, UserCodes!A:B, 2, FALSE)</f>
        <v/>
      </c>
    </row>
    <row r="83">
      <c r="A83" t="inlineStr">
        <is>
          <t>Abdi, Samira</t>
        </is>
      </c>
      <c r="B83" s="3" t="n">
        <v>46014</v>
      </c>
      <c r="C83" t="inlineStr">
        <is>
          <t>12:15 PM - 08:00 PM</t>
        </is>
      </c>
      <c r="D83" t="inlineStr">
        <is>
          <t>07:45</t>
        </is>
      </c>
      <c r="E83">
        <f>HOUR(D83)+MINUTE(D83)/100</f>
        <v/>
      </c>
      <c r="F83">
        <f>ROUND(INT(E83) + (E83 - INT(E83)) * 100 / 60, 2)</f>
        <v/>
      </c>
      <c r="G83">
        <f>E83*4</f>
        <v/>
      </c>
      <c r="H83">
        <f>LET(total, INT(E83)*60 + (E83-INT(E83))*100, blocks, QUOTIENT(total, 15), extra, MOD(total, 15), units, blocks + IF(extra&gt;=8, 1, 0), units)</f>
        <v/>
      </c>
      <c r="J83">
        <f>IF(L83="Level 1", VLOOKUP(I83, UserCodes!E:F, 2, FALSE) * H83, IF(L83="Level 2", VLOOKUP(I83, UserCodes!E:F, 2, FALSE) * H83 * 0.8, 0))</f>
        <v/>
      </c>
      <c r="K83" t="inlineStr">
        <is>
          <t>Ran, Sameya</t>
        </is>
      </c>
      <c r="L83">
        <f>VLOOKUP(K83, UserCodes!A:B, 2, FALSE)</f>
        <v/>
      </c>
    </row>
    <row r="84">
      <c r="A84" t="inlineStr">
        <is>
          <t>Abdi, Samira</t>
        </is>
      </c>
      <c r="B84" s="3" t="n">
        <v>46013</v>
      </c>
      <c r="C84" t="inlineStr">
        <is>
          <t>04:30 PM - 08:00 PM</t>
        </is>
      </c>
      <c r="D84" t="inlineStr">
        <is>
          <t>03:30</t>
        </is>
      </c>
      <c r="E84">
        <f>HOUR(D84)+MINUTE(D84)/100</f>
        <v/>
      </c>
      <c r="F84">
        <f>ROUND(INT(E84) + (E84 - INT(E84)) * 100 / 60, 2)</f>
        <v/>
      </c>
      <c r="G84">
        <f>E84*4</f>
        <v/>
      </c>
      <c r="H84">
        <f>LET(total, INT(E84)*60 + (E84-INT(E84))*100, blocks, QUOTIENT(total, 15), extra, MOD(total, 15), units, blocks + IF(extra&gt;=8, 1, 0), units)</f>
        <v/>
      </c>
      <c r="J84">
        <f>IF(L84="Level 1", VLOOKUP(I84, UserCodes!E:F, 2, FALSE) * H84, IF(L84="Level 2", VLOOKUP(I84, UserCodes!E:F, 2, FALSE) * H84 * 0.8, 0))</f>
        <v/>
      </c>
      <c r="K84" t="inlineStr">
        <is>
          <t>Ali, Naima</t>
        </is>
      </c>
      <c r="L84">
        <f>VLOOKUP(K84, UserCodes!A:B, 2, FALSE)</f>
        <v/>
      </c>
    </row>
    <row r="85">
      <c r="A85" t="inlineStr">
        <is>
          <t>Abdi, Samira</t>
        </is>
      </c>
      <c r="B85" s="3" t="n">
        <v>46013</v>
      </c>
      <c r="C85" t="inlineStr">
        <is>
          <t>12:00 PM - 04:00 PM</t>
        </is>
      </c>
      <c r="D85" t="inlineStr">
        <is>
          <t>04:00</t>
        </is>
      </c>
      <c r="E85">
        <f>HOUR(D85)+MINUTE(D85)/100</f>
        <v/>
      </c>
      <c r="F85">
        <f>ROUND(INT(E85) + (E85 - INT(E85)) * 100 / 60, 2)</f>
        <v/>
      </c>
      <c r="G85">
        <f>E85*4</f>
        <v/>
      </c>
      <c r="H85">
        <f>LET(total, INT(E85)*60 + (E85-INT(E85))*100, blocks, QUOTIENT(total, 15), extra, MOD(total, 15), units, blocks + IF(extra&gt;=8, 1, 0), units)</f>
        <v/>
      </c>
      <c r="J85">
        <f>IF(L85="Level 1", VLOOKUP(I85, UserCodes!E:F, 2, FALSE) * H85, IF(L85="Level 2", VLOOKUP(I85, UserCodes!E:F, 2, FALSE) * H85 * 0.8, 0))</f>
        <v/>
      </c>
      <c r="K85" t="inlineStr">
        <is>
          <t>Ali, Naima</t>
        </is>
      </c>
      <c r="L85">
        <f>VLOOKUP(K85, UserCodes!A:B, 2, FALSE)</f>
        <v/>
      </c>
    </row>
    <row r="86">
      <c r="A86" t="inlineStr">
        <is>
          <t>Abdi, Samira</t>
        </is>
      </c>
      <c r="B86" s="3" t="n">
        <v>46013</v>
      </c>
      <c r="C86" t="inlineStr">
        <is>
          <t>09:30 AM - 11:45 AM</t>
        </is>
      </c>
      <c r="D86" t="inlineStr">
        <is>
          <t>02:15</t>
        </is>
      </c>
      <c r="E86">
        <f>HOUR(D86)+MINUTE(D86)/100</f>
        <v/>
      </c>
      <c r="F86">
        <f>ROUND(INT(E86) + (E86 - INT(E86)) * 100 / 60, 2)</f>
        <v/>
      </c>
      <c r="G86">
        <f>E86*4</f>
        <v/>
      </c>
      <c r="H86">
        <f>LET(total, INT(E86)*60 + (E86-INT(E86))*100, blocks, QUOTIENT(total, 15), extra, MOD(total, 15), units, blocks + IF(extra&gt;=8, 1, 0), units)</f>
        <v/>
      </c>
      <c r="J86">
        <f>IF(L86="Level 1", VLOOKUP(I86, UserCodes!E:F, 2, FALSE) * H86, IF(L86="Level 2", VLOOKUP(I86, UserCodes!E:F, 2, FALSE) * H86 * 0.8, 0))</f>
        <v/>
      </c>
      <c r="K86" t="inlineStr">
        <is>
          <t>Ahmed, Jama</t>
        </is>
      </c>
      <c r="L86">
        <f>VLOOKUP(K86, UserCodes!A:B, 2, FALSE)</f>
        <v/>
      </c>
    </row>
    <row r="87">
      <c r="A87" t="inlineStr">
        <is>
          <t>Abdi, Samira</t>
        </is>
      </c>
      <c r="B87" s="3" t="n">
        <v>46011</v>
      </c>
      <c r="C87" t="inlineStr">
        <is>
          <t>11:15 AM - 12:30 PM</t>
        </is>
      </c>
      <c r="D87" t="inlineStr">
        <is>
          <t>01:15</t>
        </is>
      </c>
      <c r="E87">
        <f>HOUR(D87)+MINUTE(D87)/100</f>
        <v/>
      </c>
      <c r="F87">
        <f>ROUND(INT(E87) + (E87 - INT(E87)) * 100 / 60, 2)</f>
        <v/>
      </c>
      <c r="G87">
        <f>E87*4</f>
        <v/>
      </c>
      <c r="H87">
        <f>LET(total, INT(E87)*60 + (E87-INT(E87))*100, blocks, QUOTIENT(total, 15), extra, MOD(total, 15), units, blocks + IF(extra&gt;=8, 1, 0), units)</f>
        <v/>
      </c>
      <c r="J87">
        <f>IF(L87="Level 1", VLOOKUP(I87, UserCodes!E:F, 2, FALSE) * H87, IF(L87="Level 2", VLOOKUP(I87, UserCodes!E:F, 2, FALSE) * H87 * 0.8, 0))</f>
        <v/>
      </c>
      <c r="K87" t="inlineStr">
        <is>
          <t>Osman, Basra</t>
        </is>
      </c>
      <c r="L87">
        <f>VLOOKUP(K87, UserCodes!A:B, 2, FALSE)</f>
        <v/>
      </c>
    </row>
    <row r="88">
      <c r="A88" t="inlineStr">
        <is>
          <t>Abdi, Samira</t>
        </is>
      </c>
      <c r="B88" s="3" t="n">
        <v>46010</v>
      </c>
      <c r="C88" t="inlineStr">
        <is>
          <t>04:00 PM - 08:00 PM</t>
        </is>
      </c>
      <c r="D88" t="inlineStr">
        <is>
          <t>04:00</t>
        </is>
      </c>
      <c r="E88">
        <f>HOUR(D88)+MINUTE(D88)/100</f>
        <v/>
      </c>
      <c r="F88">
        <f>ROUND(INT(E88) + (E88 - INT(E88)) * 100 / 60, 2)</f>
        <v/>
      </c>
      <c r="G88">
        <f>E88*4</f>
        <v/>
      </c>
      <c r="H88">
        <f>LET(total, INT(E88)*60 + (E88-INT(E88))*100, blocks, QUOTIENT(total, 15), extra, MOD(total, 15), units, blocks + IF(extra&gt;=8, 1, 0), units)</f>
        <v/>
      </c>
      <c r="J88">
        <f>IF(L88="Level 1", VLOOKUP(I88, UserCodes!E:F, 2, FALSE) * H88, IF(L88="Level 2", VLOOKUP(I88, UserCodes!E:F, 2, FALSE) * H88 * 0.8, 0))</f>
        <v/>
      </c>
      <c r="K88" t="inlineStr">
        <is>
          <t>Muse, Adna</t>
        </is>
      </c>
      <c r="L88">
        <f>VLOOKUP(K88, UserCodes!A:B, 2, FALSE)</f>
        <v/>
      </c>
    </row>
    <row r="89">
      <c r="A89" t="inlineStr">
        <is>
          <t>Abdi, Samira</t>
        </is>
      </c>
      <c r="B89" s="3" t="n">
        <v>46009</v>
      </c>
      <c r="C89" t="inlineStr">
        <is>
          <t>05:00 PM - 08:00 PM</t>
        </is>
      </c>
      <c r="D89" t="inlineStr">
        <is>
          <t>03:00</t>
        </is>
      </c>
      <c r="E89">
        <f>HOUR(D89)+MINUTE(D89)/100</f>
        <v/>
      </c>
      <c r="F89">
        <f>ROUND(INT(E89) + (E89 - INT(E89)) * 100 / 60, 2)</f>
        <v/>
      </c>
      <c r="G89">
        <f>E89*4</f>
        <v/>
      </c>
      <c r="H89">
        <f>LET(total, INT(E89)*60 + (E89-INT(E89))*100, blocks, QUOTIENT(total, 15), extra, MOD(total, 15), units, blocks + IF(extra&gt;=8, 1, 0), units)</f>
        <v/>
      </c>
      <c r="J89">
        <f>IF(L89="Level 1", VLOOKUP(I89, UserCodes!E:F, 2, FALSE) * H89, IF(L89="Level 2", VLOOKUP(I89, UserCodes!E:F, 2, FALSE) * H89 * 0.8, 0))</f>
        <v/>
      </c>
      <c r="K89" t="inlineStr">
        <is>
          <t>Omar, Mohamed</t>
        </is>
      </c>
      <c r="L89">
        <f>VLOOKUP(K89, UserCodes!A:B, 2, FALSE)</f>
        <v/>
      </c>
    </row>
    <row r="90">
      <c r="A90" t="inlineStr">
        <is>
          <t>Abdi, Samira</t>
        </is>
      </c>
      <c r="B90" s="3" t="n">
        <v>46009</v>
      </c>
      <c r="C90" t="inlineStr">
        <is>
          <t>12:55 PM - 03:10 PM</t>
        </is>
      </c>
      <c r="D90" t="inlineStr">
        <is>
          <t>02:15</t>
        </is>
      </c>
      <c r="E90">
        <f>HOUR(D90)+MINUTE(D90)/100</f>
        <v/>
      </c>
      <c r="F90">
        <f>ROUND(INT(E90) + (E90 - INT(E90)) * 100 / 60, 2)</f>
        <v/>
      </c>
      <c r="G90">
        <f>E90*4</f>
        <v/>
      </c>
      <c r="H90">
        <f>LET(total, INT(E90)*60 + (E90-INT(E90))*100, blocks, QUOTIENT(total, 15), extra, MOD(total, 15), units, blocks + IF(extra&gt;=8, 1, 0), units)</f>
        <v/>
      </c>
      <c r="J90">
        <f>IF(L90="Level 1", VLOOKUP(I90, UserCodes!E:F, 2, FALSE) * H90, IF(L90="Level 2", VLOOKUP(I90, UserCodes!E:F, 2, FALSE) * H90 * 0.8, 0))</f>
        <v/>
      </c>
      <c r="K90" t="inlineStr">
        <is>
          <t>Ahmed, Jama</t>
        </is>
      </c>
      <c r="L90">
        <f>VLOOKUP(K90, UserCodes!A:B, 2, FALSE)</f>
        <v/>
      </c>
    </row>
    <row r="91">
      <c r="A91" t="inlineStr">
        <is>
          <t>Abdi, Samira</t>
        </is>
      </c>
      <c r="B91" s="3" t="n">
        <v>46008</v>
      </c>
      <c r="C91" t="inlineStr">
        <is>
          <t>05:00 PM - 08:00 PM</t>
        </is>
      </c>
      <c r="D91" t="inlineStr">
        <is>
          <t>03:00</t>
        </is>
      </c>
      <c r="E91">
        <f>HOUR(D91)+MINUTE(D91)/100</f>
        <v/>
      </c>
      <c r="F91">
        <f>ROUND(INT(E91) + (E91 - INT(E91)) * 100 / 60, 2)</f>
        <v/>
      </c>
      <c r="G91">
        <f>E91*4</f>
        <v/>
      </c>
      <c r="H91">
        <f>LET(total, INT(E91)*60 + (E91-INT(E91))*100, blocks, QUOTIENT(total, 15), extra, MOD(total, 15), units, blocks + IF(extra&gt;=8, 1, 0), units)</f>
        <v/>
      </c>
      <c r="J91">
        <f>IF(L91="Level 1", VLOOKUP(I91, UserCodes!E:F, 2, FALSE) * H91, IF(L91="Level 2", VLOOKUP(I91, UserCodes!E:F, 2, FALSE) * H91 * 0.8, 0))</f>
        <v/>
      </c>
      <c r="K91" t="inlineStr">
        <is>
          <t>Muse, Ayni</t>
        </is>
      </c>
      <c r="L91">
        <f>VLOOKUP(K91, UserCodes!A:B, 2, FALSE)</f>
        <v/>
      </c>
    </row>
    <row r="92">
      <c r="A92" t="inlineStr">
        <is>
          <t>Abdi, Samira</t>
        </is>
      </c>
      <c r="B92" s="3" t="n">
        <v>46008</v>
      </c>
      <c r="C92" t="inlineStr">
        <is>
          <t>04:00 PM - 08:00 PM</t>
        </is>
      </c>
      <c r="D92" t="inlineStr">
        <is>
          <t>04:00</t>
        </is>
      </c>
      <c r="E92">
        <f>HOUR(D92)+MINUTE(D92)/100</f>
        <v/>
      </c>
      <c r="F92">
        <f>ROUND(INT(E92) + (E92 - INT(E92)) * 100 / 60, 2)</f>
        <v/>
      </c>
      <c r="G92">
        <f>E92*4</f>
        <v/>
      </c>
      <c r="H92">
        <f>LET(total, INT(E92)*60 + (E92-INT(E92))*100, blocks, QUOTIENT(total, 15), extra, MOD(total, 15), units, blocks + IF(extra&gt;=8, 1, 0), units)</f>
        <v/>
      </c>
      <c r="J92">
        <f>IF(L92="Level 1", VLOOKUP(I92, UserCodes!E:F, 2, FALSE) * H92, IF(L92="Level 2", VLOOKUP(I92, UserCodes!E:F, 2, FALSE) * H92 * 0.8, 0))</f>
        <v/>
      </c>
      <c r="K92" t="inlineStr">
        <is>
          <t>Barqab, Mushtaq</t>
        </is>
      </c>
      <c r="L92">
        <f>VLOOKUP(K92, UserCodes!A:B, 2, FALSE)</f>
        <v/>
      </c>
    </row>
    <row r="93">
      <c r="A93" t="inlineStr">
        <is>
          <t>Abdi, Samira</t>
        </is>
      </c>
      <c r="B93" s="3" t="n">
        <v>46007</v>
      </c>
      <c r="C93" t="inlineStr">
        <is>
          <t>06:20 PM - 08:00 PM</t>
        </is>
      </c>
      <c r="D93" t="inlineStr">
        <is>
          <t>01:40</t>
        </is>
      </c>
      <c r="E93">
        <f>HOUR(D93)+MINUTE(D93)/100</f>
        <v/>
      </c>
      <c r="F93">
        <f>ROUND(INT(E93) + (E93 - INT(E93)) * 100 / 60, 2)</f>
        <v/>
      </c>
      <c r="G93">
        <f>E93*4</f>
        <v/>
      </c>
      <c r="H93">
        <f>LET(total, INT(E93)*60 + (E93-INT(E93))*100, blocks, QUOTIENT(total, 15), extra, MOD(total, 15), units, blocks + IF(extra&gt;=8, 1, 0), units)</f>
        <v/>
      </c>
      <c r="J93">
        <f>IF(L93="Level 1", VLOOKUP(I93, UserCodes!E:F, 2, FALSE) * H93, IF(L93="Level 2", VLOOKUP(I93, UserCodes!E:F, 2, FALSE) * H93 * 0.8, 0))</f>
        <v/>
      </c>
      <c r="K93" t="inlineStr">
        <is>
          <t>Muse, Ayni</t>
        </is>
      </c>
      <c r="L93">
        <f>VLOOKUP(K93, UserCodes!A:B, 2, FALSE)</f>
        <v/>
      </c>
    </row>
    <row r="94">
      <c r="A94" t="inlineStr">
        <is>
          <t>Abdi, Samira</t>
        </is>
      </c>
      <c r="B94" s="3" t="n">
        <v>46007</v>
      </c>
      <c r="C94" t="inlineStr">
        <is>
          <t>04:00 PM - 08:00 PM</t>
        </is>
      </c>
      <c r="D94" t="inlineStr">
        <is>
          <t>04:00</t>
        </is>
      </c>
      <c r="E94">
        <f>HOUR(D94)+MINUTE(D94)/100</f>
        <v/>
      </c>
      <c r="F94">
        <f>ROUND(INT(E94) + (E94 - INT(E94)) * 100 / 60, 2)</f>
        <v/>
      </c>
      <c r="G94">
        <f>E94*4</f>
        <v/>
      </c>
      <c r="H94">
        <f>LET(total, INT(E94)*60 + (E94-INT(E94))*100, blocks, QUOTIENT(total, 15), extra, MOD(total, 15), units, blocks + IF(extra&gt;=8, 1, 0), units)</f>
        <v/>
      </c>
      <c r="J94">
        <f>IF(L94="Level 1", VLOOKUP(I94, UserCodes!E:F, 2, FALSE) * H94, IF(L94="Level 2", VLOOKUP(I94, UserCodes!E:F, 2, FALSE) * H94 * 0.8, 0))</f>
        <v/>
      </c>
      <c r="K94" t="inlineStr">
        <is>
          <t>Muse, Nawaal</t>
        </is>
      </c>
      <c r="L94">
        <f>VLOOKUP(K94, UserCodes!A:B, 2, FALSE)</f>
        <v/>
      </c>
    </row>
    <row r="95">
      <c r="A95" t="inlineStr">
        <is>
          <t>Abdi, Samira</t>
        </is>
      </c>
      <c r="B95" s="3" t="n">
        <v>46007</v>
      </c>
      <c r="C95" t="inlineStr">
        <is>
          <t>01:35 PM - 03:55 PM</t>
        </is>
      </c>
      <c r="D95" t="inlineStr">
        <is>
          <t>02:20</t>
        </is>
      </c>
      <c r="E95">
        <f>HOUR(D95)+MINUTE(D95)/100</f>
        <v/>
      </c>
      <c r="F95">
        <f>ROUND(INT(E95) + (E95 - INT(E95)) * 100 / 60, 2)</f>
        <v/>
      </c>
      <c r="G95">
        <f>E95*4</f>
        <v/>
      </c>
      <c r="H95">
        <f>LET(total, INT(E95)*60 + (E95-INT(E95))*100, blocks, QUOTIENT(total, 15), extra, MOD(total, 15), units, blocks + IF(extra&gt;=8, 1, 0), units)</f>
        <v/>
      </c>
      <c r="J95">
        <f>IF(L95="Level 1", VLOOKUP(I95, UserCodes!E:F, 2, FALSE) * H95, IF(L95="Level 2", VLOOKUP(I95, UserCodes!E:F, 2, FALSE) * H95 * 0.8, 0))</f>
        <v/>
      </c>
      <c r="K95" t="inlineStr">
        <is>
          <t>Ahmed, Jama</t>
        </is>
      </c>
      <c r="L95">
        <f>VLOOKUP(K95, UserCodes!A:B, 2, FALSE)</f>
        <v/>
      </c>
    </row>
    <row r="96">
      <c r="A96" t="inlineStr">
        <is>
          <t>Abdi, Samira</t>
        </is>
      </c>
      <c r="B96" s="3" t="n">
        <v>46006</v>
      </c>
      <c r="C96" t="inlineStr">
        <is>
          <t>04:00 PM - 08:00 PM</t>
        </is>
      </c>
      <c r="D96" t="inlineStr">
        <is>
          <t>04:00</t>
        </is>
      </c>
      <c r="E96">
        <f>HOUR(D96)+MINUTE(D96)/100</f>
        <v/>
      </c>
      <c r="F96">
        <f>ROUND(INT(E96) + (E96 - INT(E96)) * 100 / 60, 2)</f>
        <v/>
      </c>
      <c r="G96">
        <f>E96*4</f>
        <v/>
      </c>
      <c r="H96">
        <f>LET(total, INT(E96)*60 + (E96-INT(E96))*100, blocks, QUOTIENT(total, 15), extra, MOD(total, 15), units, blocks + IF(extra&gt;=8, 1, 0), units)</f>
        <v/>
      </c>
      <c r="J96">
        <f>IF(L96="Level 1", VLOOKUP(I96, UserCodes!E:F, 2, FALSE) * H96, IF(L96="Level 2", VLOOKUP(I96, UserCodes!E:F, 2, FALSE) * H96 * 0.8, 0))</f>
        <v/>
      </c>
      <c r="K96" t="inlineStr">
        <is>
          <t>Ran, Sameya</t>
        </is>
      </c>
      <c r="L96">
        <f>VLOOKUP(K96, UserCodes!A:B, 2, FALSE)</f>
        <v/>
      </c>
    </row>
    <row r="97">
      <c r="A97" t="inlineStr">
        <is>
          <t>Abdi, Samira</t>
        </is>
      </c>
      <c r="B97" s="3" t="n">
        <v>46006</v>
      </c>
      <c r="C97" t="inlineStr">
        <is>
          <t>04:00 PM - 07:00 PM</t>
        </is>
      </c>
      <c r="D97" t="inlineStr">
        <is>
          <t>03:00</t>
        </is>
      </c>
      <c r="E97">
        <f>HOUR(D97)+MINUTE(D97)/100</f>
        <v/>
      </c>
      <c r="F97">
        <f>ROUND(INT(E97) + (E97 - INT(E97)) * 100 / 60, 2)</f>
        <v/>
      </c>
      <c r="G97">
        <f>E97*4</f>
        <v/>
      </c>
      <c r="H97">
        <f>LET(total, INT(E97)*60 + (E97-INT(E97))*100, blocks, QUOTIENT(total, 15), extra, MOD(total, 15), units, blocks + IF(extra&gt;=8, 1, 0), units)</f>
        <v/>
      </c>
      <c r="J97">
        <f>IF(L97="Level 1", VLOOKUP(I97, UserCodes!E:F, 2, FALSE) * H97, IF(L97="Level 2", VLOOKUP(I97, UserCodes!E:F, 2, FALSE) * H97 * 0.8, 0))</f>
        <v/>
      </c>
      <c r="K97" t="inlineStr">
        <is>
          <t>Muse, Ayni</t>
        </is>
      </c>
      <c r="L97">
        <f>VLOOKUP(K97, UserCodes!A:B, 2, FALSE)</f>
        <v/>
      </c>
    </row>
    <row r="98">
      <c r="A98" t="inlineStr">
        <is>
          <t>Abdi, Samira</t>
        </is>
      </c>
      <c r="B98" s="3" t="n">
        <v>46004</v>
      </c>
      <c r="C98" t="inlineStr">
        <is>
          <t>10:30 AM - 06:00 PM</t>
        </is>
      </c>
      <c r="D98" t="inlineStr">
        <is>
          <t>07:30</t>
        </is>
      </c>
      <c r="E98">
        <f>HOUR(D98)+MINUTE(D98)/100</f>
        <v/>
      </c>
      <c r="F98">
        <f>ROUND(INT(E98) + (E98 - INT(E98)) * 100 / 60, 2)</f>
        <v/>
      </c>
      <c r="G98">
        <f>E98*4</f>
        <v/>
      </c>
      <c r="H98">
        <f>LET(total, INT(E98)*60 + (E98-INT(E98))*100, blocks, QUOTIENT(total, 15), extra, MOD(total, 15), units, blocks + IF(extra&gt;=8, 1, 0), units)</f>
        <v/>
      </c>
      <c r="J98">
        <f>IF(L98="Level 1", VLOOKUP(I98, UserCodes!E:F, 2, FALSE) * H98, IF(L98="Level 2", VLOOKUP(I98, UserCodes!E:F, 2, FALSE) * H98 * 0.8, 0))</f>
        <v/>
      </c>
      <c r="K98" t="inlineStr">
        <is>
          <t>Muse, Nawaal</t>
        </is>
      </c>
      <c r="L98">
        <f>VLOOKUP(K98, UserCodes!A:B, 2, FALSE)</f>
        <v/>
      </c>
    </row>
    <row r="99">
      <c r="A99" t="inlineStr">
        <is>
          <t>Abdi, Samira</t>
        </is>
      </c>
      <c r="B99" s="3" t="n">
        <v>46004</v>
      </c>
      <c r="C99" t="inlineStr">
        <is>
          <t>10:00 AM - 01:00 PM</t>
        </is>
      </c>
      <c r="D99" t="inlineStr">
        <is>
          <t>03:00</t>
        </is>
      </c>
      <c r="E99">
        <f>HOUR(D99)+MINUTE(D99)/100</f>
        <v/>
      </c>
      <c r="F99">
        <f>ROUND(INT(E99) + (E99 - INT(E99)) * 100 / 60, 2)</f>
        <v/>
      </c>
      <c r="G99">
        <f>E99*4</f>
        <v/>
      </c>
      <c r="H99">
        <f>LET(total, INT(E99)*60 + (E99-INT(E99))*100, blocks, QUOTIENT(total, 15), extra, MOD(total, 15), units, blocks + IF(extra&gt;=8, 1, 0), units)</f>
        <v/>
      </c>
      <c r="J99">
        <f>IF(L99="Level 1", VLOOKUP(I99, UserCodes!E:F, 2, FALSE) * H99, IF(L99="Level 2", VLOOKUP(I99, UserCodes!E:F, 2, FALSE) * H99 * 0.8, 0))</f>
        <v/>
      </c>
      <c r="K99" t="inlineStr">
        <is>
          <t>Muse, Adna</t>
        </is>
      </c>
      <c r="L99">
        <f>VLOOKUP(K99, UserCodes!A:B, 2, FALSE)</f>
        <v/>
      </c>
    </row>
    <row r="100">
      <c r="A100" t="inlineStr">
        <is>
          <t>Abdi, Samira</t>
        </is>
      </c>
      <c r="B100" s="3" t="n">
        <v>46003</v>
      </c>
      <c r="C100" t="inlineStr">
        <is>
          <t>04:00 PM - 08:00 PM</t>
        </is>
      </c>
      <c r="D100" t="inlineStr">
        <is>
          <t>04:00</t>
        </is>
      </c>
      <c r="E100">
        <f>HOUR(D100)+MINUTE(D100)/100</f>
        <v/>
      </c>
      <c r="F100">
        <f>ROUND(INT(E100) + (E100 - INT(E100)) * 100 / 60, 2)</f>
        <v/>
      </c>
      <c r="G100">
        <f>E100*4</f>
        <v/>
      </c>
      <c r="H100">
        <f>LET(total, INT(E100)*60 + (E100-INT(E100))*100, blocks, QUOTIENT(total, 15), extra, MOD(total, 15), units, blocks + IF(extra&gt;=8, 1, 0), units)</f>
        <v/>
      </c>
      <c r="J100">
        <f>IF(L100="Level 1", VLOOKUP(I100, UserCodes!E:F, 2, FALSE) * H100, IF(L100="Level 2", VLOOKUP(I100, UserCodes!E:F, 2, FALSE) * H100 * 0.8, 0))</f>
        <v/>
      </c>
      <c r="K100" t="inlineStr">
        <is>
          <t>Muse, Ayni</t>
        </is>
      </c>
      <c r="L100">
        <f>VLOOKUP(K100, UserCodes!A:B, 2, FALSE)</f>
        <v/>
      </c>
    </row>
    <row r="101">
      <c r="A101" t="inlineStr">
        <is>
          <t>Abdi, Samira</t>
        </is>
      </c>
      <c r="B101" s="3" t="n">
        <v>46003</v>
      </c>
      <c r="C101" t="inlineStr">
        <is>
          <t>09:00 AM - 11:30 AM</t>
        </is>
      </c>
      <c r="D101" t="inlineStr">
        <is>
          <t>02:30</t>
        </is>
      </c>
      <c r="E101">
        <f>HOUR(D101)+MINUTE(D101)/100</f>
        <v/>
      </c>
      <c r="F101">
        <f>ROUND(INT(E101) + (E101 - INT(E101)) * 100 / 60, 2)</f>
        <v/>
      </c>
      <c r="G101">
        <f>E101*4</f>
        <v/>
      </c>
      <c r="H101">
        <f>LET(total, INT(E101)*60 + (E101-INT(E101))*100, blocks, QUOTIENT(total, 15), extra, MOD(total, 15), units, blocks + IF(extra&gt;=8, 1, 0), units)</f>
        <v/>
      </c>
      <c r="J101">
        <f>IF(L101="Level 1", VLOOKUP(I101, UserCodes!E:F, 2, FALSE) * H101, IF(L101="Level 2", VLOOKUP(I101, UserCodes!E:F, 2, FALSE) * H101 * 0.8, 0))</f>
        <v/>
      </c>
      <c r="K101" t="inlineStr">
        <is>
          <t>Ahmed, Jama</t>
        </is>
      </c>
      <c r="L101">
        <f>VLOOKUP(K101, UserCodes!A:B, 2, FALSE)</f>
        <v/>
      </c>
    </row>
    <row r="102">
      <c r="A102" t="inlineStr">
        <is>
          <t>Abdi, Samira</t>
        </is>
      </c>
      <c r="B102" s="3" t="n">
        <v>46002</v>
      </c>
      <c r="C102" t="inlineStr">
        <is>
          <t>06:30 PM - 08:00 PM</t>
        </is>
      </c>
      <c r="D102" t="inlineStr">
        <is>
          <t>01:30</t>
        </is>
      </c>
      <c r="E102">
        <f>HOUR(D102)+MINUTE(D102)/100</f>
        <v/>
      </c>
      <c r="F102">
        <f>ROUND(INT(E102) + (E102 - INT(E102)) * 100 / 60, 2)</f>
        <v/>
      </c>
      <c r="G102">
        <f>E102*4</f>
        <v/>
      </c>
      <c r="H102">
        <f>LET(total, INT(E102)*60 + (E102-INT(E102))*100, blocks, QUOTIENT(total, 15), extra, MOD(total, 15), units, blocks + IF(extra&gt;=8, 1, 0), units)</f>
        <v/>
      </c>
      <c r="J102">
        <f>IF(L102="Level 1", VLOOKUP(I102, UserCodes!E:F, 2, FALSE) * H102, IF(L102="Level 2", VLOOKUP(I102, UserCodes!E:F, 2, FALSE) * H102 * 0.8, 0))</f>
        <v/>
      </c>
      <c r="K102" t="inlineStr">
        <is>
          <t>Ali, Nasteho</t>
        </is>
      </c>
      <c r="L102">
        <f>VLOOKUP(K102, UserCodes!A:B, 2, FALSE)</f>
        <v/>
      </c>
    </row>
    <row r="103">
      <c r="A103" t="inlineStr">
        <is>
          <t>Abdi, Samira</t>
        </is>
      </c>
      <c r="B103" s="3" t="n">
        <v>46002</v>
      </c>
      <c r="C103" t="inlineStr">
        <is>
          <t>05:00 PM - 06:00 PM</t>
        </is>
      </c>
      <c r="D103" t="inlineStr">
        <is>
          <t>01:00</t>
        </is>
      </c>
      <c r="E103">
        <f>HOUR(D103)+MINUTE(D103)/100</f>
        <v/>
      </c>
      <c r="F103">
        <f>ROUND(INT(E103) + (E103 - INT(E103)) * 100 / 60, 2)</f>
        <v/>
      </c>
      <c r="G103">
        <f>E103*4</f>
        <v/>
      </c>
      <c r="H103">
        <f>LET(total, INT(E103)*60 + (E103-INT(E103))*100, blocks, QUOTIENT(total, 15), extra, MOD(total, 15), units, blocks + IF(extra&gt;=8, 1, 0), units)</f>
        <v/>
      </c>
      <c r="J103">
        <f>IF(L103="Level 1", VLOOKUP(I103, UserCodes!E:F, 2, FALSE) * H103, IF(L103="Level 2", VLOOKUP(I103, UserCodes!E:F, 2, FALSE) * H103 * 0.8, 0))</f>
        <v/>
      </c>
      <c r="K103" t="inlineStr">
        <is>
          <t>El-Tay, Dr. Ismael</t>
        </is>
      </c>
      <c r="L103">
        <f>VLOOKUP(K103, UserCodes!A:B, 2, FALSE)</f>
        <v/>
      </c>
    </row>
    <row r="104">
      <c r="A104" t="inlineStr">
        <is>
          <t>Abdi, Samira</t>
        </is>
      </c>
      <c r="B104" s="3" t="n">
        <v>46002</v>
      </c>
      <c r="C104" t="inlineStr">
        <is>
          <t>04:00 PM - 08:00 PM</t>
        </is>
      </c>
      <c r="D104" t="inlineStr">
        <is>
          <t>04:00</t>
        </is>
      </c>
      <c r="E104">
        <f>HOUR(D104)+MINUTE(D104)/100</f>
        <v/>
      </c>
      <c r="F104">
        <f>ROUND(INT(E104) + (E104 - INT(E104)) * 100 / 60, 2)</f>
        <v/>
      </c>
      <c r="G104">
        <f>E104*4</f>
        <v/>
      </c>
      <c r="H104">
        <f>LET(total, INT(E104)*60 + (E104-INT(E104))*100, blocks, QUOTIENT(total, 15), extra, MOD(total, 15), units, blocks + IF(extra&gt;=8, 1, 0), units)</f>
        <v/>
      </c>
      <c r="J104">
        <f>IF(L104="Level 1", VLOOKUP(I104, UserCodes!E:F, 2, FALSE) * H104, IF(L104="Level 2", VLOOKUP(I104, UserCodes!E:F, 2, FALSE) * H104 * 0.8, 0))</f>
        <v/>
      </c>
      <c r="K104" t="inlineStr">
        <is>
          <t>Muse, Nawaal</t>
        </is>
      </c>
      <c r="L104">
        <f>VLOOKUP(K104, UserCodes!A:B, 2, FALSE)</f>
        <v/>
      </c>
    </row>
    <row r="105">
      <c r="A105" t="inlineStr">
        <is>
          <t>Abdi, Samira</t>
        </is>
      </c>
      <c r="B105" s="3" t="n">
        <v>46001</v>
      </c>
      <c r="C105" t="inlineStr">
        <is>
          <t>10:00 AM - 12:30 PM</t>
        </is>
      </c>
      <c r="D105" t="inlineStr">
        <is>
          <t>02:30</t>
        </is>
      </c>
      <c r="E105">
        <f>HOUR(D105)+MINUTE(D105)/100</f>
        <v/>
      </c>
      <c r="F105">
        <f>ROUND(INT(E105) + (E105 - INT(E105)) * 100 / 60, 2)</f>
        <v/>
      </c>
      <c r="G105">
        <f>E105*4</f>
        <v/>
      </c>
      <c r="H105">
        <f>LET(total, INT(E105)*60 + (E105-INT(E105))*100, blocks, QUOTIENT(total, 15), extra, MOD(total, 15), units, blocks + IF(extra&gt;=8, 1, 0), units)</f>
        <v/>
      </c>
      <c r="J105">
        <f>IF(L105="Level 1", VLOOKUP(I105, UserCodes!E:F, 2, FALSE) * H105, IF(L105="Level 2", VLOOKUP(I105, UserCodes!E:F, 2, FALSE) * H105 * 0.8, 0))</f>
        <v/>
      </c>
      <c r="K105" t="inlineStr">
        <is>
          <t>Ahmed, Jama</t>
        </is>
      </c>
      <c r="L105">
        <f>VLOOKUP(K105, UserCodes!A:B, 2, FALSE)</f>
        <v/>
      </c>
    </row>
    <row r="106">
      <c r="A106" t="inlineStr">
        <is>
          <t>Abdulkadir, Nadra</t>
        </is>
      </c>
      <c r="B106" s="3" t="n">
        <v>46014</v>
      </c>
      <c r="C106" t="inlineStr">
        <is>
          <t>01:30 PM - 04:30 PM</t>
        </is>
      </c>
      <c r="D106" t="inlineStr">
        <is>
          <t>03:00</t>
        </is>
      </c>
      <c r="E106">
        <f>HOUR(D106)+MINUTE(D106)/100</f>
        <v/>
      </c>
      <c r="F106">
        <f>ROUND(INT(E106) + (E106 - INT(E106)) * 100 / 60, 2)</f>
        <v/>
      </c>
      <c r="G106">
        <f>E106*4</f>
        <v/>
      </c>
      <c r="H106">
        <f>LET(total, INT(E106)*60 + (E106-INT(E106))*100, blocks, QUOTIENT(total, 15), extra, MOD(total, 15), units, blocks + IF(extra&gt;=8, 1, 0), units)</f>
        <v/>
      </c>
      <c r="J106">
        <f>IF(L106="Level 1", VLOOKUP(I106, UserCodes!E:F, 2, FALSE) * H106, IF(L106="Level 2", VLOOKUP(I106, UserCodes!E:F, 2, FALSE) * H106 * 0.8, 0))</f>
        <v/>
      </c>
      <c r="K106" t="inlineStr">
        <is>
          <t>Mohamed, Madar</t>
        </is>
      </c>
      <c r="L106">
        <f>VLOOKUP(K106, UserCodes!A:B, 2, FALSE)</f>
        <v/>
      </c>
    </row>
    <row r="107">
      <c r="A107" t="inlineStr">
        <is>
          <t>Abdulkadir, Nadra</t>
        </is>
      </c>
      <c r="B107" s="3" t="n">
        <v>46014</v>
      </c>
      <c r="C107" t="inlineStr">
        <is>
          <t>01:30 PM - 06:30 PM</t>
        </is>
      </c>
      <c r="D107" t="inlineStr">
        <is>
          <t>05:00</t>
        </is>
      </c>
      <c r="E107">
        <f>HOUR(D107)+MINUTE(D107)/100</f>
        <v/>
      </c>
      <c r="F107">
        <f>ROUND(INT(E107) + (E107 - INT(E107)) * 100 / 60, 2)</f>
        <v/>
      </c>
      <c r="G107">
        <f>E107*4</f>
        <v/>
      </c>
      <c r="H107">
        <f>LET(total, INT(E107)*60 + (E107-INT(E107))*100, blocks, QUOTIENT(total, 15), extra, MOD(total, 15), units, blocks + IF(extra&gt;=8, 1, 0), units)</f>
        <v/>
      </c>
      <c r="J107">
        <f>IF(L107="Level 1", VLOOKUP(I107, UserCodes!E:F, 2, FALSE) * H107, IF(L107="Level 2", VLOOKUP(I107, UserCodes!E:F, 2, FALSE) * H107 * 0.8, 0))</f>
        <v/>
      </c>
      <c r="K107" t="inlineStr">
        <is>
          <t>Hashi, Ridwan</t>
        </is>
      </c>
      <c r="L107">
        <f>VLOOKUP(K107, UserCodes!A:B, 2, FALSE)</f>
        <v/>
      </c>
    </row>
    <row r="108">
      <c r="A108" t="inlineStr">
        <is>
          <t>Abdulkadir, Nadra</t>
        </is>
      </c>
      <c r="B108" s="3" t="n">
        <v>46013</v>
      </c>
      <c r="C108" t="inlineStr">
        <is>
          <t>04:30 PM - 06:30 PM</t>
        </is>
      </c>
      <c r="D108" t="inlineStr">
        <is>
          <t>02:00</t>
        </is>
      </c>
      <c r="E108">
        <f>HOUR(D108)+MINUTE(D108)/100</f>
        <v/>
      </c>
      <c r="F108">
        <f>ROUND(INT(E108) + (E108 - INT(E108)) * 100 / 60, 2)</f>
        <v/>
      </c>
      <c r="G108">
        <f>E108*4</f>
        <v/>
      </c>
      <c r="H108">
        <f>LET(total, INT(E108)*60 + (E108-INT(E108))*100, blocks, QUOTIENT(total, 15), extra, MOD(total, 15), units, blocks + IF(extra&gt;=8, 1, 0), units)</f>
        <v/>
      </c>
      <c r="J108">
        <f>IF(L108="Level 1", VLOOKUP(I108, UserCodes!E:F, 2, FALSE) * H108, IF(L108="Level 2", VLOOKUP(I108, UserCodes!E:F, 2, FALSE) * H108 * 0.8, 0))</f>
        <v/>
      </c>
      <c r="K108" t="inlineStr">
        <is>
          <t>ALI, AMIRA</t>
        </is>
      </c>
      <c r="L108">
        <f>VLOOKUP(K108, UserCodes!A:B, 2, FALSE)</f>
        <v/>
      </c>
    </row>
    <row r="109">
      <c r="A109" t="inlineStr">
        <is>
          <t>Abdulkadir, Nadra</t>
        </is>
      </c>
      <c r="B109" s="3" t="n">
        <v>46013</v>
      </c>
      <c r="C109" t="inlineStr">
        <is>
          <t>01:00 PM - 03:15 PM</t>
        </is>
      </c>
      <c r="D109" t="inlineStr">
        <is>
          <t>02:15</t>
        </is>
      </c>
      <c r="E109">
        <f>HOUR(D109)+MINUTE(D109)/100</f>
        <v/>
      </c>
      <c r="F109">
        <f>ROUND(INT(E109) + (E109 - INT(E109)) * 100 / 60, 2)</f>
        <v/>
      </c>
      <c r="G109">
        <f>E109*4</f>
        <v/>
      </c>
      <c r="H109">
        <f>LET(total, INT(E109)*60 + (E109-INT(E109))*100, blocks, QUOTIENT(total, 15), extra, MOD(total, 15), units, blocks + IF(extra&gt;=8, 1, 0), units)</f>
        <v/>
      </c>
      <c r="J109">
        <f>IF(L109="Level 1", VLOOKUP(I109, UserCodes!E:F, 2, FALSE) * H109, IF(L109="Level 2", VLOOKUP(I109, UserCodes!E:F, 2, FALSE) * H109 * 0.8, 0))</f>
        <v/>
      </c>
      <c r="K109" t="inlineStr">
        <is>
          <t>Ahmed, Jama</t>
        </is>
      </c>
      <c r="L109">
        <f>VLOOKUP(K109, UserCodes!A:B, 2, FALSE)</f>
        <v/>
      </c>
    </row>
    <row r="110">
      <c r="A110" t="inlineStr">
        <is>
          <t>Abdulkadir, Nadra</t>
        </is>
      </c>
      <c r="B110" s="3" t="n">
        <v>46013</v>
      </c>
      <c r="C110" t="inlineStr">
        <is>
          <t>12:00 PM - 03:00 PM</t>
        </is>
      </c>
      <c r="D110" t="inlineStr">
        <is>
          <t>03:00</t>
        </is>
      </c>
      <c r="E110">
        <f>HOUR(D110)+MINUTE(D110)/100</f>
        <v/>
      </c>
      <c r="F110">
        <f>ROUND(INT(E110) + (E110 - INT(E110)) * 100 / 60, 2)</f>
        <v/>
      </c>
      <c r="G110">
        <f>E110*4</f>
        <v/>
      </c>
      <c r="H110">
        <f>LET(total, INT(E110)*60 + (E110-INT(E110))*100, blocks, QUOTIENT(total, 15), extra, MOD(total, 15), units, blocks + IF(extra&gt;=8, 1, 0), units)</f>
        <v/>
      </c>
      <c r="J110">
        <f>IF(L110="Level 1", VLOOKUP(I110, UserCodes!E:F, 2, FALSE) * H110, IF(L110="Level 2", VLOOKUP(I110, UserCodes!E:F, 2, FALSE) * H110 * 0.8, 0))</f>
        <v/>
      </c>
      <c r="K110" t="inlineStr">
        <is>
          <t>Mohamed, Madar</t>
        </is>
      </c>
      <c r="L110">
        <f>VLOOKUP(K110, UserCodes!A:B, 2, FALSE)</f>
        <v/>
      </c>
    </row>
    <row r="111">
      <c r="A111" t="inlineStr">
        <is>
          <t>Abdulkadir, Nadra</t>
        </is>
      </c>
      <c r="B111" s="3" t="n">
        <v>46013</v>
      </c>
      <c r="C111" t="inlineStr">
        <is>
          <t>11:30 AM - 04:00 PM</t>
        </is>
      </c>
      <c r="D111" t="inlineStr">
        <is>
          <t>04:30</t>
        </is>
      </c>
      <c r="E111">
        <f>HOUR(D111)+MINUTE(D111)/100</f>
        <v/>
      </c>
      <c r="F111">
        <f>ROUND(INT(E111) + (E111 - INT(E111)) * 100 / 60, 2)</f>
        <v/>
      </c>
      <c r="G111">
        <f>E111*4</f>
        <v/>
      </c>
      <c r="H111">
        <f>LET(total, INT(E111)*60 + (E111-INT(E111))*100, blocks, QUOTIENT(total, 15), extra, MOD(total, 15), units, blocks + IF(extra&gt;=8, 1, 0), units)</f>
        <v/>
      </c>
      <c r="J111">
        <f>IF(L111="Level 1", VLOOKUP(I111, UserCodes!E:F, 2, FALSE) * H111, IF(L111="Level 2", VLOOKUP(I111, UserCodes!E:F, 2, FALSE) * H111 * 0.8, 0))</f>
        <v/>
      </c>
      <c r="K111" t="inlineStr">
        <is>
          <t>ALI, AMIRA</t>
        </is>
      </c>
      <c r="L111">
        <f>VLOOKUP(K111, UserCodes!A:B, 2, FALSE)</f>
        <v/>
      </c>
    </row>
    <row r="112">
      <c r="A112" t="inlineStr">
        <is>
          <t>Abdulkadir, Nadra</t>
        </is>
      </c>
      <c r="B112" s="3" t="n">
        <v>46010</v>
      </c>
      <c r="C112" t="inlineStr">
        <is>
          <t>04:00 PM - 06:30 PM</t>
        </is>
      </c>
      <c r="D112" t="inlineStr">
        <is>
          <t>02:30</t>
        </is>
      </c>
      <c r="E112">
        <f>HOUR(D112)+MINUTE(D112)/100</f>
        <v/>
      </c>
      <c r="F112">
        <f>ROUND(INT(E112) + (E112 - INT(E112)) * 100 / 60, 2)</f>
        <v/>
      </c>
      <c r="G112">
        <f>E112*4</f>
        <v/>
      </c>
      <c r="H112">
        <f>LET(total, INT(E112)*60 + (E112-INT(E112))*100, blocks, QUOTIENT(total, 15), extra, MOD(total, 15), units, blocks + IF(extra&gt;=8, 1, 0), units)</f>
        <v/>
      </c>
      <c r="J112">
        <f>IF(L112="Level 1", VLOOKUP(I112, UserCodes!E:F, 2, FALSE) * H112, IF(L112="Level 2", VLOOKUP(I112, UserCodes!E:F, 2, FALSE) * H112 * 0.8, 0))</f>
        <v/>
      </c>
      <c r="K112" t="inlineStr">
        <is>
          <t>Muse, Ayni</t>
        </is>
      </c>
      <c r="L112">
        <f>VLOOKUP(K112, UserCodes!A:B, 2, FALSE)</f>
        <v/>
      </c>
    </row>
    <row r="113">
      <c r="A113" t="inlineStr">
        <is>
          <t>Abdulkadir, Nadra</t>
        </is>
      </c>
      <c r="B113" s="3" t="n">
        <v>46010</v>
      </c>
      <c r="C113" t="inlineStr">
        <is>
          <t>04:00 PM - 04:30 PM</t>
        </is>
      </c>
      <c r="D113" t="inlineStr">
        <is>
          <t>00:30</t>
        </is>
      </c>
      <c r="E113">
        <f>HOUR(D113)+MINUTE(D113)/100</f>
        <v/>
      </c>
      <c r="F113">
        <f>ROUND(INT(E113) + (E113 - INT(E113)) * 100 / 60, 2)</f>
        <v/>
      </c>
      <c r="G113">
        <f>E113*4</f>
        <v/>
      </c>
      <c r="H113">
        <f>LET(total, INT(E113)*60 + (E113-INT(E113))*100, blocks, QUOTIENT(total, 15), extra, MOD(total, 15), units, blocks + IF(extra&gt;=8, 1, 0), units)</f>
        <v/>
      </c>
      <c r="J113">
        <f>IF(L113="Level 1", VLOOKUP(I113, UserCodes!E:F, 2, FALSE) * H113, IF(L113="Level 2", VLOOKUP(I113, UserCodes!E:F, 2, FALSE) * H113 * 0.8, 0))</f>
        <v/>
      </c>
      <c r="K113" t="inlineStr">
        <is>
          <t>Mohamed, Madar</t>
        </is>
      </c>
      <c r="L113">
        <f>VLOOKUP(K113, UserCodes!A:B, 2, FALSE)</f>
        <v/>
      </c>
    </row>
    <row r="114">
      <c r="A114" t="inlineStr">
        <is>
          <t>Abdulkadir, Nadra</t>
        </is>
      </c>
      <c r="B114" s="3" t="n">
        <v>46010</v>
      </c>
      <c r="C114" t="inlineStr">
        <is>
          <t>01:30 PM - 04:00 PM</t>
        </is>
      </c>
      <c r="D114" t="inlineStr">
        <is>
          <t>02:30</t>
        </is>
      </c>
      <c r="E114">
        <f>HOUR(D114)+MINUTE(D114)/100</f>
        <v/>
      </c>
      <c r="F114">
        <f>ROUND(INT(E114) + (E114 - INT(E114)) * 100 / 60, 2)</f>
        <v/>
      </c>
      <c r="G114">
        <f>E114*4</f>
        <v/>
      </c>
      <c r="H114">
        <f>LET(total, INT(E114)*60 + (E114-INT(E114))*100, blocks, QUOTIENT(total, 15), extra, MOD(total, 15), units, blocks + IF(extra&gt;=8, 1, 0), units)</f>
        <v/>
      </c>
      <c r="J114">
        <f>IF(L114="Level 1", VLOOKUP(I114, UserCodes!E:F, 2, FALSE) * H114, IF(L114="Level 2", VLOOKUP(I114, UserCodes!E:F, 2, FALSE) * H114 * 0.8, 0))</f>
        <v/>
      </c>
      <c r="K114" t="inlineStr">
        <is>
          <t>Mohamed, Madar</t>
        </is>
      </c>
      <c r="L114">
        <f>VLOOKUP(K114, UserCodes!A:B, 2, FALSE)</f>
        <v/>
      </c>
    </row>
    <row r="115">
      <c r="A115" t="inlineStr">
        <is>
          <t>Abdulkadir, Nadra</t>
        </is>
      </c>
      <c r="B115" s="3" t="n">
        <v>46010</v>
      </c>
      <c r="C115" t="inlineStr">
        <is>
          <t>01:30 PM - 04:00 PM</t>
        </is>
      </c>
      <c r="D115" t="inlineStr">
        <is>
          <t>02:30</t>
        </is>
      </c>
      <c r="E115">
        <f>HOUR(D115)+MINUTE(D115)/100</f>
        <v/>
      </c>
      <c r="F115">
        <f>ROUND(INT(E115) + (E115 - INT(E115)) * 100 / 60, 2)</f>
        <v/>
      </c>
      <c r="G115">
        <f>E115*4</f>
        <v/>
      </c>
      <c r="H115">
        <f>LET(total, INT(E115)*60 + (E115-INT(E115))*100, blocks, QUOTIENT(total, 15), extra, MOD(total, 15), units, blocks + IF(extra&gt;=8, 1, 0), units)</f>
        <v/>
      </c>
      <c r="J115">
        <f>IF(L115="Level 1", VLOOKUP(I115, UserCodes!E:F, 2, FALSE) * H115, IF(L115="Level 2", VLOOKUP(I115, UserCodes!E:F, 2, FALSE) * H115 * 0.8, 0))</f>
        <v/>
      </c>
      <c r="K115" t="inlineStr">
        <is>
          <t>Ali, Nasteho</t>
        </is>
      </c>
      <c r="L115">
        <f>VLOOKUP(K115, UserCodes!A:B, 2, FALSE)</f>
        <v/>
      </c>
    </row>
    <row r="116">
      <c r="A116" t="inlineStr">
        <is>
          <t>Abdulkadir, Nadra</t>
        </is>
      </c>
      <c r="B116" s="3" t="n">
        <v>46009</v>
      </c>
      <c r="C116" t="inlineStr">
        <is>
          <t>12:00 PM - 03:00 PM</t>
        </is>
      </c>
      <c r="D116" t="inlineStr">
        <is>
          <t>03:00</t>
        </is>
      </c>
      <c r="E116">
        <f>HOUR(D116)+MINUTE(D116)/100</f>
        <v/>
      </c>
      <c r="F116">
        <f>ROUND(INT(E116) + (E116 - INT(E116)) * 100 / 60, 2)</f>
        <v/>
      </c>
      <c r="G116">
        <f>E116*4</f>
        <v/>
      </c>
      <c r="H116">
        <f>LET(total, INT(E116)*60 + (E116-INT(E116))*100, blocks, QUOTIENT(total, 15), extra, MOD(total, 15), units, blocks + IF(extra&gt;=8, 1, 0), units)</f>
        <v/>
      </c>
      <c r="J116">
        <f>IF(L116="Level 1", VLOOKUP(I116, UserCodes!E:F, 2, FALSE) * H116, IF(L116="Level 2", VLOOKUP(I116, UserCodes!E:F, 2, FALSE) * H116 * 0.8, 0))</f>
        <v/>
      </c>
      <c r="K116" t="inlineStr">
        <is>
          <t>Mohamed, Madar</t>
        </is>
      </c>
      <c r="L116">
        <f>VLOOKUP(K116, UserCodes!A:B, 2, FALSE)</f>
        <v/>
      </c>
    </row>
    <row r="117">
      <c r="A117" t="inlineStr">
        <is>
          <t>Abdulkadir, Nadra</t>
        </is>
      </c>
      <c r="B117" s="3" t="n">
        <v>46009</v>
      </c>
      <c r="C117" t="inlineStr">
        <is>
          <t>11:00 AM - 06:30 PM</t>
        </is>
      </c>
      <c r="D117" t="inlineStr">
        <is>
          <t>07:30</t>
        </is>
      </c>
      <c r="E117">
        <f>HOUR(D117)+MINUTE(D117)/100</f>
        <v/>
      </c>
      <c r="F117">
        <f>ROUND(INT(E117) + (E117 - INT(E117)) * 100 / 60, 2)</f>
        <v/>
      </c>
      <c r="G117">
        <f>E117*4</f>
        <v/>
      </c>
      <c r="H117">
        <f>LET(total, INT(E117)*60 + (E117-INT(E117))*100, blocks, QUOTIENT(total, 15), extra, MOD(total, 15), units, blocks + IF(extra&gt;=8, 1, 0), units)</f>
        <v/>
      </c>
      <c r="J117">
        <f>IF(L117="Level 1", VLOOKUP(I117, UserCodes!E:F, 2, FALSE) * H117, IF(L117="Level 2", VLOOKUP(I117, UserCodes!E:F, 2, FALSE) * H117 * 0.8, 0))</f>
        <v/>
      </c>
      <c r="K117" t="inlineStr">
        <is>
          <t>Ran, Sameya</t>
        </is>
      </c>
      <c r="L117">
        <f>VLOOKUP(K117, UserCodes!A:B, 2, FALSE)</f>
        <v/>
      </c>
    </row>
    <row r="118">
      <c r="A118" t="inlineStr">
        <is>
          <t>Abdulkadir, Nadra</t>
        </is>
      </c>
      <c r="B118" s="3" t="n">
        <v>46008</v>
      </c>
      <c r="C118" t="inlineStr">
        <is>
          <t>01:30 PM - 06:30 PM</t>
        </is>
      </c>
      <c r="D118" t="inlineStr">
        <is>
          <t>05:00</t>
        </is>
      </c>
      <c r="E118">
        <f>HOUR(D118)+MINUTE(D118)/100</f>
        <v/>
      </c>
      <c r="F118">
        <f>ROUND(INT(E118) + (E118 - INT(E118)) * 100 / 60, 2)</f>
        <v/>
      </c>
      <c r="G118">
        <f>E118*4</f>
        <v/>
      </c>
      <c r="H118">
        <f>LET(total, INT(E118)*60 + (E118-INT(E118))*100, blocks, QUOTIENT(total, 15), extra, MOD(total, 15), units, blocks + IF(extra&gt;=8, 1, 0), units)</f>
        <v/>
      </c>
      <c r="J118">
        <f>IF(L118="Level 1", VLOOKUP(I118, UserCodes!E:F, 2, FALSE) * H118, IF(L118="Level 2", VLOOKUP(I118, UserCodes!E:F, 2, FALSE) * H118 * 0.8, 0))</f>
        <v/>
      </c>
      <c r="K118" t="inlineStr">
        <is>
          <t>ALI, AMIRA</t>
        </is>
      </c>
      <c r="L118">
        <f>VLOOKUP(K118, UserCodes!A:B, 2, FALSE)</f>
        <v/>
      </c>
    </row>
    <row r="119">
      <c r="A119" t="inlineStr">
        <is>
          <t>Abdulkadir, Nadra</t>
        </is>
      </c>
      <c r="B119" s="3" t="n">
        <v>46008</v>
      </c>
      <c r="C119" t="inlineStr">
        <is>
          <t>01:30 PM - 04:30 PM</t>
        </is>
      </c>
      <c r="D119" t="inlineStr">
        <is>
          <t>03:00</t>
        </is>
      </c>
      <c r="E119">
        <f>HOUR(D119)+MINUTE(D119)/100</f>
        <v/>
      </c>
      <c r="F119">
        <f>ROUND(INT(E119) + (E119 - INT(E119)) * 100 / 60, 2)</f>
        <v/>
      </c>
      <c r="G119">
        <f>E119*4</f>
        <v/>
      </c>
      <c r="H119">
        <f>LET(total, INT(E119)*60 + (E119-INT(E119))*100, blocks, QUOTIENT(total, 15), extra, MOD(total, 15), units, blocks + IF(extra&gt;=8, 1, 0), units)</f>
        <v/>
      </c>
      <c r="J119">
        <f>IF(L119="Level 1", VLOOKUP(I119, UserCodes!E:F, 2, FALSE) * H119, IF(L119="Level 2", VLOOKUP(I119, UserCodes!E:F, 2, FALSE) * H119 * 0.8, 0))</f>
        <v/>
      </c>
      <c r="K119" t="inlineStr">
        <is>
          <t>Mohamed, Madar</t>
        </is>
      </c>
      <c r="L119">
        <f>VLOOKUP(K119, UserCodes!A:B, 2, FALSE)</f>
        <v/>
      </c>
    </row>
    <row r="120">
      <c r="A120" t="inlineStr">
        <is>
          <t>Abdulkadir, Nadra</t>
        </is>
      </c>
      <c r="B120" s="3" t="n">
        <v>46007</v>
      </c>
      <c r="C120" t="inlineStr">
        <is>
          <t>04:00 PM - 06:20 PM</t>
        </is>
      </c>
      <c r="D120" t="inlineStr">
        <is>
          <t>02:20</t>
        </is>
      </c>
      <c r="E120">
        <f>HOUR(D120)+MINUTE(D120)/100</f>
        <v/>
      </c>
      <c r="F120">
        <f>ROUND(INT(E120) + (E120 - INT(E120)) * 100 / 60, 2)</f>
        <v/>
      </c>
      <c r="G120">
        <f>E120*4</f>
        <v/>
      </c>
      <c r="H120">
        <f>LET(total, INT(E120)*60 + (E120-INT(E120))*100, blocks, QUOTIENT(total, 15), extra, MOD(total, 15), units, blocks + IF(extra&gt;=8, 1, 0), units)</f>
        <v/>
      </c>
      <c r="J120">
        <f>IF(L120="Level 1", VLOOKUP(I120, UserCodes!E:F, 2, FALSE) * H120, IF(L120="Level 2", VLOOKUP(I120, UserCodes!E:F, 2, FALSE) * H120 * 0.8, 0))</f>
        <v/>
      </c>
      <c r="K120" t="inlineStr">
        <is>
          <t>Muse, Ayni</t>
        </is>
      </c>
      <c r="L120">
        <f>VLOOKUP(K120, UserCodes!A:B, 2, FALSE)</f>
        <v/>
      </c>
    </row>
    <row r="121">
      <c r="A121" t="inlineStr">
        <is>
          <t>Abdulkadir, Nadra</t>
        </is>
      </c>
      <c r="B121" s="3" t="n">
        <v>46007</v>
      </c>
      <c r="C121" t="inlineStr">
        <is>
          <t>01:30 PM - 04:00 PM</t>
        </is>
      </c>
      <c r="D121" t="inlineStr">
        <is>
          <t>02:30</t>
        </is>
      </c>
      <c r="E121">
        <f>HOUR(D121)+MINUTE(D121)/100</f>
        <v/>
      </c>
      <c r="F121">
        <f>ROUND(INT(E121) + (E121 - INT(E121)) * 100 / 60, 2)</f>
        <v/>
      </c>
      <c r="G121">
        <f>E121*4</f>
        <v/>
      </c>
      <c r="H121">
        <f>LET(total, INT(E121)*60 + (E121-INT(E121))*100, blocks, QUOTIENT(total, 15), extra, MOD(total, 15), units, blocks + IF(extra&gt;=8, 1, 0), units)</f>
        <v/>
      </c>
      <c r="J121">
        <f>IF(L121="Level 1", VLOOKUP(I121, UserCodes!E:F, 2, FALSE) * H121, IF(L121="Level 2", VLOOKUP(I121, UserCodes!E:F, 2, FALSE) * H121 * 0.8, 0))</f>
        <v/>
      </c>
      <c r="K121" t="inlineStr">
        <is>
          <t>Mohamed, Madar</t>
        </is>
      </c>
      <c r="L121">
        <f>VLOOKUP(K121, UserCodes!A:B, 2, FALSE)</f>
        <v/>
      </c>
    </row>
    <row r="122">
      <c r="A122" t="inlineStr">
        <is>
          <t>Abdulkadir, Nadra</t>
        </is>
      </c>
      <c r="B122" s="3" t="n">
        <v>46007</v>
      </c>
      <c r="C122" t="inlineStr">
        <is>
          <t>01:30 PM - 04:00 PM</t>
        </is>
      </c>
      <c r="D122" t="inlineStr">
        <is>
          <t>02:30</t>
        </is>
      </c>
      <c r="E122">
        <f>HOUR(D122)+MINUTE(D122)/100</f>
        <v/>
      </c>
      <c r="F122">
        <f>ROUND(INT(E122) + (E122 - INT(E122)) * 100 / 60, 2)</f>
        <v/>
      </c>
      <c r="G122">
        <f>E122*4</f>
        <v/>
      </c>
      <c r="H122">
        <f>LET(total, INT(E122)*60 + (E122-INT(E122))*100, blocks, QUOTIENT(total, 15), extra, MOD(total, 15), units, blocks + IF(extra&gt;=8, 1, 0), units)</f>
        <v/>
      </c>
      <c r="J122">
        <f>IF(L122="Level 1", VLOOKUP(I122, UserCodes!E:F, 2, FALSE) * H122, IF(L122="Level 2", VLOOKUP(I122, UserCodes!E:F, 2, FALSE) * H122 * 0.8, 0))</f>
        <v/>
      </c>
      <c r="K122" t="inlineStr">
        <is>
          <t>Ali, Nasteho</t>
        </is>
      </c>
      <c r="L122">
        <f>VLOOKUP(K122, UserCodes!A:B, 2, FALSE)</f>
        <v/>
      </c>
    </row>
    <row r="123">
      <c r="A123" t="inlineStr">
        <is>
          <t>Abdulkadir, Nadra</t>
        </is>
      </c>
      <c r="B123" s="3" t="n">
        <v>46006</v>
      </c>
      <c r="C123" t="inlineStr">
        <is>
          <t>12:00 PM - 03:00 PM</t>
        </is>
      </c>
      <c r="D123" t="inlineStr">
        <is>
          <t>03:00</t>
        </is>
      </c>
      <c r="E123">
        <f>HOUR(D123)+MINUTE(D123)/100</f>
        <v/>
      </c>
      <c r="F123">
        <f>ROUND(INT(E123) + (E123 - INT(E123)) * 100 / 60, 2)</f>
        <v/>
      </c>
      <c r="G123">
        <f>E123*4</f>
        <v/>
      </c>
      <c r="H123">
        <f>LET(total, INT(E123)*60 + (E123-INT(E123))*100, blocks, QUOTIENT(total, 15), extra, MOD(total, 15), units, blocks + IF(extra&gt;=8, 1, 0), units)</f>
        <v/>
      </c>
      <c r="J123">
        <f>IF(L123="Level 1", VLOOKUP(I123, UserCodes!E:F, 2, FALSE) * H123, IF(L123="Level 2", VLOOKUP(I123, UserCodes!E:F, 2, FALSE) * H123 * 0.8, 0))</f>
        <v/>
      </c>
      <c r="K123" t="inlineStr">
        <is>
          <t>Mohamed, Madar</t>
        </is>
      </c>
      <c r="L123">
        <f>VLOOKUP(K123, UserCodes!A:B, 2, FALSE)</f>
        <v/>
      </c>
    </row>
    <row r="124">
      <c r="A124" t="inlineStr">
        <is>
          <t>Abdulkadir, Nadra</t>
        </is>
      </c>
      <c r="B124" s="3" t="n">
        <v>46006</v>
      </c>
      <c r="C124" t="inlineStr">
        <is>
          <t>11:30 AM - 06:30 PM</t>
        </is>
      </c>
      <c r="D124" t="inlineStr">
        <is>
          <t>07:00</t>
        </is>
      </c>
      <c r="E124">
        <f>HOUR(D124)+MINUTE(D124)/100</f>
        <v/>
      </c>
      <c r="F124">
        <f>ROUND(INT(E124) + (E124 - INT(E124)) * 100 / 60, 2)</f>
        <v/>
      </c>
      <c r="G124">
        <f>E124*4</f>
        <v/>
      </c>
      <c r="H124">
        <f>LET(total, INT(E124)*60 + (E124-INT(E124))*100, blocks, QUOTIENT(total, 15), extra, MOD(total, 15), units, blocks + IF(extra&gt;=8, 1, 0), units)</f>
        <v/>
      </c>
      <c r="J124">
        <f>IF(L124="Level 1", VLOOKUP(I124, UserCodes!E:F, 2, FALSE) * H124, IF(L124="Level 2", VLOOKUP(I124, UserCodes!E:F, 2, FALSE) * H124 * 0.8, 0))</f>
        <v/>
      </c>
      <c r="K124" t="inlineStr">
        <is>
          <t>ALI, AMIRA</t>
        </is>
      </c>
      <c r="L124">
        <f>VLOOKUP(K124, UserCodes!A:B, 2, FALSE)</f>
        <v/>
      </c>
    </row>
    <row r="125">
      <c r="A125" t="inlineStr">
        <is>
          <t>Abdulkadir, Nadra</t>
        </is>
      </c>
      <c r="B125" s="3" t="n">
        <v>46005</v>
      </c>
      <c r="C125" t="inlineStr">
        <is>
          <t>09:30 AM - 11:45 AM</t>
        </is>
      </c>
      <c r="D125" t="inlineStr">
        <is>
          <t>02:15</t>
        </is>
      </c>
      <c r="E125">
        <f>HOUR(D125)+MINUTE(D125)/100</f>
        <v/>
      </c>
      <c r="F125">
        <f>ROUND(INT(E125) + (E125 - INT(E125)) * 100 / 60, 2)</f>
        <v/>
      </c>
      <c r="G125">
        <f>E125*4</f>
        <v/>
      </c>
      <c r="H125">
        <f>LET(total, INT(E125)*60 + (E125-INT(E125))*100, blocks, QUOTIENT(total, 15), extra, MOD(total, 15), units, blocks + IF(extra&gt;=8, 1, 0), units)</f>
        <v/>
      </c>
      <c r="J125">
        <f>IF(L125="Level 1", VLOOKUP(I125, UserCodes!E:F, 2, FALSE) * H125, IF(L125="Level 2", VLOOKUP(I125, UserCodes!E:F, 2, FALSE) * H125 * 0.8, 0))</f>
        <v/>
      </c>
      <c r="K125" t="inlineStr">
        <is>
          <t>Ahmed, Jama</t>
        </is>
      </c>
      <c r="L125">
        <f>VLOOKUP(K125, UserCodes!A:B, 2, FALSE)</f>
        <v/>
      </c>
    </row>
    <row r="126">
      <c r="A126" t="inlineStr">
        <is>
          <t>Abdulkadir, Nadra</t>
        </is>
      </c>
      <c r="B126" s="3" t="n">
        <v>46004</v>
      </c>
      <c r="C126" t="inlineStr">
        <is>
          <t>12:30 PM - 05:00 PM</t>
        </is>
      </c>
      <c r="D126" t="inlineStr">
        <is>
          <t>04:30</t>
        </is>
      </c>
      <c r="E126">
        <f>HOUR(D126)+MINUTE(D126)/100</f>
        <v/>
      </c>
      <c r="F126">
        <f>ROUND(INT(E126) + (E126 - INT(E126)) * 100 / 60, 2)</f>
        <v/>
      </c>
      <c r="G126">
        <f>E126*4</f>
        <v/>
      </c>
      <c r="H126">
        <f>LET(total, INT(E126)*60 + (E126-INT(E126))*100, blocks, QUOTIENT(total, 15), extra, MOD(total, 15), units, blocks + IF(extra&gt;=8, 1, 0), units)</f>
        <v/>
      </c>
      <c r="J126">
        <f>IF(L126="Level 1", VLOOKUP(I126, UserCodes!E:F, 2, FALSE) * H126, IF(L126="Level 2", VLOOKUP(I126, UserCodes!E:F, 2, FALSE) * H126 * 0.8, 0))</f>
        <v/>
      </c>
      <c r="K126" t="inlineStr">
        <is>
          <t>ALI, AMIRA</t>
        </is>
      </c>
      <c r="L126">
        <f>VLOOKUP(K126, UserCodes!A:B, 2, FALSE)</f>
        <v/>
      </c>
    </row>
    <row r="127">
      <c r="A127" t="inlineStr">
        <is>
          <t>Abdulkadir, Nadra</t>
        </is>
      </c>
      <c r="B127" s="3" t="n">
        <v>46004</v>
      </c>
      <c r="C127" t="inlineStr">
        <is>
          <t>10:00 AM - 01:00 PM</t>
        </is>
      </c>
      <c r="D127" t="inlineStr">
        <is>
          <t>03:00</t>
        </is>
      </c>
      <c r="E127">
        <f>HOUR(D127)+MINUTE(D127)/100</f>
        <v/>
      </c>
      <c r="F127">
        <f>ROUND(INT(E127) + (E127 - INT(E127)) * 100 / 60, 2)</f>
        <v/>
      </c>
      <c r="G127">
        <f>E127*4</f>
        <v/>
      </c>
      <c r="H127">
        <f>LET(total, INT(E127)*60 + (E127-INT(E127))*100, blocks, QUOTIENT(total, 15), extra, MOD(total, 15), units, blocks + IF(extra&gt;=8, 1, 0), units)</f>
        <v/>
      </c>
      <c r="J127">
        <f>IF(L127="Level 1", VLOOKUP(I127, UserCodes!E:F, 2, FALSE) * H127, IF(L127="Level 2", VLOOKUP(I127, UserCodes!E:F, 2, FALSE) * H127 * 0.8, 0))</f>
        <v/>
      </c>
      <c r="K127" t="inlineStr">
        <is>
          <t>Mohamed, Madar</t>
        </is>
      </c>
      <c r="L127">
        <f>VLOOKUP(K127, UserCodes!A:B, 2, FALSE)</f>
        <v/>
      </c>
    </row>
    <row r="128">
      <c r="A128" t="inlineStr">
        <is>
          <t>Abdulkadir, Nadra</t>
        </is>
      </c>
      <c r="B128" s="3" t="n">
        <v>46004</v>
      </c>
      <c r="C128" t="inlineStr">
        <is>
          <t>09:00 AM - 12:00 PM</t>
        </is>
      </c>
      <c r="D128" t="inlineStr">
        <is>
          <t>03:00</t>
        </is>
      </c>
      <c r="E128">
        <f>HOUR(D128)+MINUTE(D128)/100</f>
        <v/>
      </c>
      <c r="F128">
        <f>ROUND(INT(E128) + (E128 - INT(E128)) * 100 / 60, 2)</f>
        <v/>
      </c>
      <c r="G128">
        <f>E128*4</f>
        <v/>
      </c>
      <c r="H128">
        <f>LET(total, INT(E128)*60 + (E128-INT(E128))*100, blocks, QUOTIENT(total, 15), extra, MOD(total, 15), units, blocks + IF(extra&gt;=8, 1, 0), units)</f>
        <v/>
      </c>
      <c r="J128">
        <f>IF(L128="Level 1", VLOOKUP(I128, UserCodes!E:F, 2, FALSE) * H128, IF(L128="Level 2", VLOOKUP(I128, UserCodes!E:F, 2, FALSE) * H128 * 0.8, 0))</f>
        <v/>
      </c>
      <c r="K128" t="inlineStr">
        <is>
          <t>ALI, AMIRA</t>
        </is>
      </c>
      <c r="L128">
        <f>VLOOKUP(K128, UserCodes!A:B, 2, FALSE)</f>
        <v/>
      </c>
    </row>
    <row r="129">
      <c r="A129" t="inlineStr">
        <is>
          <t>Abdulkadir, Nadra</t>
        </is>
      </c>
      <c r="B129" s="3" t="n">
        <v>46003</v>
      </c>
      <c r="C129" t="inlineStr">
        <is>
          <t>01:30 PM - 06:30 PM</t>
        </is>
      </c>
      <c r="D129" t="inlineStr">
        <is>
          <t>05:00</t>
        </is>
      </c>
      <c r="E129">
        <f>HOUR(D129)+MINUTE(D129)/100</f>
        <v/>
      </c>
      <c r="F129">
        <f>ROUND(INT(E129) + (E129 - INT(E129)) * 100 / 60, 2)</f>
        <v/>
      </c>
      <c r="G129">
        <f>E129*4</f>
        <v/>
      </c>
      <c r="H129">
        <f>LET(total, INT(E129)*60 + (E129-INT(E129))*100, blocks, QUOTIENT(total, 15), extra, MOD(total, 15), units, blocks + IF(extra&gt;=8, 1, 0), units)</f>
        <v/>
      </c>
      <c r="J129">
        <f>IF(L129="Level 1", VLOOKUP(I129, UserCodes!E:F, 2, FALSE) * H129, IF(L129="Level 2", VLOOKUP(I129, UserCodes!E:F, 2, FALSE) * H129 * 0.8, 0))</f>
        <v/>
      </c>
      <c r="K129" t="inlineStr">
        <is>
          <t>Ali, Nasteho</t>
        </is>
      </c>
      <c r="L129">
        <f>VLOOKUP(K129, UserCodes!A:B, 2, FALSE)</f>
        <v/>
      </c>
    </row>
    <row r="130">
      <c r="A130" t="inlineStr">
        <is>
          <t>Abdulkadir, Nadra</t>
        </is>
      </c>
      <c r="B130" s="3" t="n">
        <v>46003</v>
      </c>
      <c r="C130" t="inlineStr">
        <is>
          <t>01:00 PM - 04:30 PM</t>
        </is>
      </c>
      <c r="D130" t="inlineStr">
        <is>
          <t>03:30</t>
        </is>
      </c>
      <c r="E130">
        <f>HOUR(D130)+MINUTE(D130)/100</f>
        <v/>
      </c>
      <c r="F130">
        <f>ROUND(INT(E130) + (E130 - INT(E130)) * 100 / 60, 2)</f>
        <v/>
      </c>
      <c r="G130">
        <f>E130*4</f>
        <v/>
      </c>
      <c r="H130">
        <f>LET(total, INT(E130)*60 + (E130-INT(E130))*100, blocks, QUOTIENT(total, 15), extra, MOD(total, 15), units, blocks + IF(extra&gt;=8, 1, 0), units)</f>
        <v/>
      </c>
      <c r="J130">
        <f>IF(L130="Level 1", VLOOKUP(I130, UserCodes!E:F, 2, FALSE) * H130, IF(L130="Level 2", VLOOKUP(I130, UserCodes!E:F, 2, FALSE) * H130 * 0.8, 0))</f>
        <v/>
      </c>
      <c r="K130" t="inlineStr">
        <is>
          <t>Mohamed, Madar</t>
        </is>
      </c>
      <c r="L130">
        <f>VLOOKUP(K130, UserCodes!A:B, 2, FALSE)</f>
        <v/>
      </c>
    </row>
    <row r="131">
      <c r="A131" t="inlineStr">
        <is>
          <t>Abdulkadir, Nadra</t>
        </is>
      </c>
      <c r="B131" s="3" t="n">
        <v>46002</v>
      </c>
      <c r="C131" t="inlineStr">
        <is>
          <t>01:30 PM - 06:30 PM</t>
        </is>
      </c>
      <c r="D131" t="inlineStr">
        <is>
          <t>05:00</t>
        </is>
      </c>
      <c r="E131">
        <f>HOUR(D131)+MINUTE(D131)/100</f>
        <v/>
      </c>
      <c r="F131">
        <f>ROUND(INT(E131) + (E131 - INT(E131)) * 100 / 60, 2)</f>
        <v/>
      </c>
      <c r="G131">
        <f>E131*4</f>
        <v/>
      </c>
      <c r="H131">
        <f>LET(total, INT(E131)*60 + (E131-INT(E131))*100, blocks, QUOTIENT(total, 15), extra, MOD(total, 15), units, blocks + IF(extra&gt;=8, 1, 0), units)</f>
        <v/>
      </c>
      <c r="J131">
        <f>IF(L131="Level 1", VLOOKUP(I131, UserCodes!E:F, 2, FALSE) * H131, IF(L131="Level 2", VLOOKUP(I131, UserCodes!E:F, 2, FALSE) * H131 * 0.8, 0))</f>
        <v/>
      </c>
      <c r="K131" t="inlineStr">
        <is>
          <t>Ali, Nasteho</t>
        </is>
      </c>
      <c r="L131">
        <f>VLOOKUP(K131, UserCodes!A:B, 2, FALSE)</f>
        <v/>
      </c>
    </row>
    <row r="132">
      <c r="A132" t="inlineStr">
        <is>
          <t>Abdulkadir, Nadra</t>
        </is>
      </c>
      <c r="B132" s="3" t="n">
        <v>46001</v>
      </c>
      <c r="C132" t="inlineStr">
        <is>
          <t>01:30 PM - 05:00 PM</t>
        </is>
      </c>
      <c r="D132" t="inlineStr">
        <is>
          <t>03:30</t>
        </is>
      </c>
      <c r="E132">
        <f>HOUR(D132)+MINUTE(D132)/100</f>
        <v/>
      </c>
      <c r="F132">
        <f>ROUND(INT(E132) + (E132 - INT(E132)) * 100 / 60, 2)</f>
        <v/>
      </c>
      <c r="G132">
        <f>E132*4</f>
        <v/>
      </c>
      <c r="H132">
        <f>LET(total, INT(E132)*60 + (E132-INT(E132))*100, blocks, QUOTIENT(total, 15), extra, MOD(total, 15), units, blocks + IF(extra&gt;=8, 1, 0), units)</f>
        <v/>
      </c>
      <c r="J132">
        <f>IF(L132="Level 1", VLOOKUP(I132, UserCodes!E:F, 2, FALSE) * H132, IF(L132="Level 2", VLOOKUP(I132, UserCodes!E:F, 2, FALSE) * H132 * 0.8, 0))</f>
        <v/>
      </c>
      <c r="K132" t="inlineStr">
        <is>
          <t>Mohamed, Madar</t>
        </is>
      </c>
      <c r="L132">
        <f>VLOOKUP(K132, UserCodes!A:B, 2, FALSE)</f>
        <v/>
      </c>
    </row>
    <row r="133">
      <c r="A133" t="inlineStr">
        <is>
          <t>Abdulkadir, Nadra</t>
        </is>
      </c>
      <c r="B133" s="3" t="n">
        <v>46001</v>
      </c>
      <c r="C133" t="inlineStr">
        <is>
          <t>01:30 PM - 03:50 PM</t>
        </is>
      </c>
      <c r="D133" t="inlineStr">
        <is>
          <t>02:20</t>
        </is>
      </c>
      <c r="E133">
        <f>HOUR(D133)+MINUTE(D133)/100</f>
        <v/>
      </c>
      <c r="F133">
        <f>ROUND(INT(E133) + (E133 - INT(E133)) * 100 / 60, 2)</f>
        <v/>
      </c>
      <c r="G133">
        <f>E133*4</f>
        <v/>
      </c>
      <c r="H133">
        <f>LET(total, INT(E133)*60 + (E133-INT(E133))*100, blocks, QUOTIENT(total, 15), extra, MOD(total, 15), units, blocks + IF(extra&gt;=8, 1, 0), units)</f>
        <v/>
      </c>
      <c r="J133">
        <f>IF(L133="Level 1", VLOOKUP(I133, UserCodes!E:F, 2, FALSE) * H133, IF(L133="Level 2", VLOOKUP(I133, UserCodes!E:F, 2, FALSE) * H133 * 0.8, 0))</f>
        <v/>
      </c>
      <c r="K133" t="inlineStr">
        <is>
          <t>Ahmed, Jama</t>
        </is>
      </c>
      <c r="L133">
        <f>VLOOKUP(K133, UserCodes!A:B, 2, FALSE)</f>
        <v/>
      </c>
    </row>
    <row r="134">
      <c r="A134" t="inlineStr">
        <is>
          <t>Abdulkadir, Nadra</t>
        </is>
      </c>
      <c r="B134" s="3" t="n">
        <v>46001</v>
      </c>
      <c r="C134" t="inlineStr">
        <is>
          <t>01:30 PM - 06:30 PM</t>
        </is>
      </c>
      <c r="D134" t="inlineStr">
        <is>
          <t>05:00</t>
        </is>
      </c>
      <c r="E134">
        <f>HOUR(D134)+MINUTE(D134)/100</f>
        <v/>
      </c>
      <c r="F134">
        <f>ROUND(INT(E134) + (E134 - INT(E134)) * 100 / 60, 2)</f>
        <v/>
      </c>
      <c r="G134">
        <f>E134*4</f>
        <v/>
      </c>
      <c r="H134">
        <f>LET(total, INT(E134)*60 + (E134-INT(E134))*100, blocks, QUOTIENT(total, 15), extra, MOD(total, 15), units, blocks + IF(extra&gt;=8, 1, 0), units)</f>
        <v/>
      </c>
      <c r="J134">
        <f>IF(L134="Level 1", VLOOKUP(I134, UserCodes!E:F, 2, FALSE) * H134, IF(L134="Level 2", VLOOKUP(I134, UserCodes!E:F, 2, FALSE) * H134 * 0.8, 0))</f>
        <v/>
      </c>
      <c r="K134" t="inlineStr">
        <is>
          <t>ALI, AMIRA</t>
        </is>
      </c>
      <c r="L134">
        <f>VLOOKUP(K134, UserCodes!A:B, 2, FALSE)</f>
        <v/>
      </c>
    </row>
    <row r="135">
      <c r="A135" t="inlineStr">
        <is>
          <t>Abdulkadir, Nadra</t>
        </is>
      </c>
      <c r="B135" s="3" t="n">
        <v>46001</v>
      </c>
      <c r="C135" t="inlineStr">
        <is>
          <t>01:00 PM - 03:00 PM</t>
        </is>
      </c>
      <c r="D135" t="inlineStr">
        <is>
          <t>02:00</t>
        </is>
      </c>
      <c r="E135">
        <f>HOUR(D135)+MINUTE(D135)/100</f>
        <v/>
      </c>
      <c r="F135">
        <f>ROUND(INT(E135) + (E135 - INT(E135)) * 100 / 60, 2)</f>
        <v/>
      </c>
      <c r="G135">
        <f>E135*4</f>
        <v/>
      </c>
      <c r="H135">
        <f>LET(total, INT(E135)*60 + (E135-INT(E135))*100, blocks, QUOTIENT(total, 15), extra, MOD(total, 15), units, blocks + IF(extra&gt;=8, 1, 0), units)</f>
        <v/>
      </c>
      <c r="J135">
        <f>IF(L135="Level 1", VLOOKUP(I135, UserCodes!E:F, 2, FALSE) * H135, IF(L135="Level 2", VLOOKUP(I135, UserCodes!E:F, 2, FALSE) * H135 * 0.8, 0))</f>
        <v/>
      </c>
      <c r="K135" t="inlineStr">
        <is>
          <t>Mohamed, Madar</t>
        </is>
      </c>
      <c r="L135">
        <f>VLOOKUP(K135, UserCodes!A:B, 2, FALSE)</f>
        <v/>
      </c>
    </row>
    <row r="136">
      <c r="A136" t="inlineStr">
        <is>
          <t>Abdullahi, Abdirahman</t>
        </is>
      </c>
      <c r="B136" s="3" t="n">
        <v>46014</v>
      </c>
      <c r="C136" t="inlineStr">
        <is>
          <t>11:00 AM - 05:00 PM</t>
        </is>
      </c>
      <c r="D136" t="inlineStr">
        <is>
          <t>06:00</t>
        </is>
      </c>
      <c r="E136">
        <f>HOUR(D136)+MINUTE(D136)/100</f>
        <v/>
      </c>
      <c r="F136">
        <f>ROUND(INT(E136) + (E136 - INT(E136)) * 100 / 60, 2)</f>
        <v/>
      </c>
      <c r="G136">
        <f>E136*4</f>
        <v/>
      </c>
      <c r="H136">
        <f>LET(total, INT(E136)*60 + (E136-INT(E136))*100, blocks, QUOTIENT(total, 15), extra, MOD(total, 15), units, blocks + IF(extra&gt;=8, 1, 0), units)</f>
        <v/>
      </c>
      <c r="J136">
        <f>IF(L136="Level 1", VLOOKUP(I136, UserCodes!E:F, 2, FALSE) * H136, IF(L136="Level 2", VLOOKUP(I136, UserCodes!E:F, 2, FALSE) * H136 * 0.8, 0))</f>
        <v/>
      </c>
      <c r="K136" t="inlineStr">
        <is>
          <t>Ali, Naima</t>
        </is>
      </c>
      <c r="L136">
        <f>VLOOKUP(K136, UserCodes!A:B, 2, FALSE)</f>
        <v/>
      </c>
    </row>
    <row r="137">
      <c r="A137" t="inlineStr">
        <is>
          <t>Abdullahi, Abdirahman</t>
        </is>
      </c>
      <c r="B137" s="3" t="n">
        <v>46013</v>
      </c>
      <c r="C137" t="inlineStr">
        <is>
          <t>10:30 AM - 01:30 PM</t>
        </is>
      </c>
      <c r="D137" t="inlineStr">
        <is>
          <t>03:00</t>
        </is>
      </c>
      <c r="E137">
        <f>HOUR(D137)+MINUTE(D137)/100</f>
        <v/>
      </c>
      <c r="F137">
        <f>ROUND(INT(E137) + (E137 - INT(E137)) * 100 / 60, 2)</f>
        <v/>
      </c>
      <c r="G137">
        <f>E137*4</f>
        <v/>
      </c>
      <c r="H137">
        <f>LET(total, INT(E137)*60 + (E137-INT(E137))*100, blocks, QUOTIENT(total, 15), extra, MOD(total, 15), units, blocks + IF(extra&gt;=8, 1, 0), units)</f>
        <v/>
      </c>
      <c r="J137">
        <f>IF(L137="Level 1", VLOOKUP(I137, UserCodes!E:F, 2, FALSE) * H137, IF(L137="Level 2", VLOOKUP(I137, UserCodes!E:F, 2, FALSE) * H137 * 0.8, 0))</f>
        <v/>
      </c>
      <c r="K137" t="inlineStr">
        <is>
          <t>Muse, Ayni</t>
        </is>
      </c>
      <c r="L137">
        <f>VLOOKUP(K137, UserCodes!A:B, 2, FALSE)</f>
        <v/>
      </c>
    </row>
    <row r="138">
      <c r="A138" t="inlineStr">
        <is>
          <t>Abdullahi, Abdirahman</t>
        </is>
      </c>
      <c r="B138" s="3" t="n">
        <v>46013</v>
      </c>
      <c r="C138" t="inlineStr">
        <is>
          <t>10:30 AM - 05:00 PM</t>
        </is>
      </c>
      <c r="D138" t="inlineStr">
        <is>
          <t>06:30</t>
        </is>
      </c>
      <c r="E138">
        <f>HOUR(D138)+MINUTE(D138)/100</f>
        <v/>
      </c>
      <c r="F138">
        <f>ROUND(INT(E138) + (E138 - INT(E138)) * 100 / 60, 2)</f>
        <v/>
      </c>
      <c r="G138">
        <f>E138*4</f>
        <v/>
      </c>
      <c r="H138">
        <f>LET(total, INT(E138)*60 + (E138-INT(E138))*100, blocks, QUOTIENT(total, 15), extra, MOD(total, 15), units, blocks + IF(extra&gt;=8, 1, 0), units)</f>
        <v/>
      </c>
      <c r="J138">
        <f>IF(L138="Level 1", VLOOKUP(I138, UserCodes!E:F, 2, FALSE) * H138, IF(L138="Level 2", VLOOKUP(I138, UserCodes!E:F, 2, FALSE) * H138 * 0.8, 0))</f>
        <v/>
      </c>
      <c r="K138" t="inlineStr">
        <is>
          <t>Ran, Sameya</t>
        </is>
      </c>
      <c r="L138">
        <f>VLOOKUP(K138, UserCodes!A:B, 2, FALSE)</f>
        <v/>
      </c>
    </row>
    <row r="139">
      <c r="A139" t="inlineStr">
        <is>
          <t>Abdullahi, Abdirahman</t>
        </is>
      </c>
      <c r="B139" s="3" t="n">
        <v>46010</v>
      </c>
      <c r="C139" t="inlineStr">
        <is>
          <t>12:00 PM - 05:00 PM</t>
        </is>
      </c>
      <c r="D139" t="inlineStr">
        <is>
          <t>05:00</t>
        </is>
      </c>
      <c r="E139">
        <f>HOUR(D139)+MINUTE(D139)/100</f>
        <v/>
      </c>
      <c r="F139">
        <f>ROUND(INT(E139) + (E139 - INT(E139)) * 100 / 60, 2)</f>
        <v/>
      </c>
      <c r="G139">
        <f>E139*4</f>
        <v/>
      </c>
      <c r="H139">
        <f>LET(total, INT(E139)*60 + (E139-INT(E139))*100, blocks, QUOTIENT(total, 15), extra, MOD(total, 15), units, blocks + IF(extra&gt;=8, 1, 0), units)</f>
        <v/>
      </c>
      <c r="J139">
        <f>IF(L139="Level 1", VLOOKUP(I139, UserCodes!E:F, 2, FALSE) * H139, IF(L139="Level 2", VLOOKUP(I139, UserCodes!E:F, 2, FALSE) * H139 * 0.8, 0))</f>
        <v/>
      </c>
      <c r="K139" t="inlineStr">
        <is>
          <t>Omar, Mohamed</t>
        </is>
      </c>
      <c r="L139">
        <f>VLOOKUP(K139, UserCodes!A:B, 2, FALSE)</f>
        <v/>
      </c>
    </row>
    <row r="140">
      <c r="A140" t="inlineStr">
        <is>
          <t>Abdullahi, Abdirahman</t>
        </is>
      </c>
      <c r="B140" s="3" t="n">
        <v>46009</v>
      </c>
      <c r="C140" t="inlineStr">
        <is>
          <t>01:00 PM - 05:00 PM</t>
        </is>
      </c>
      <c r="D140" t="inlineStr">
        <is>
          <t>04:00</t>
        </is>
      </c>
      <c r="E140">
        <f>HOUR(D140)+MINUTE(D140)/100</f>
        <v/>
      </c>
      <c r="F140">
        <f>ROUND(INT(E140) + (E140 - INT(E140)) * 100 / 60, 2)</f>
        <v/>
      </c>
      <c r="G140">
        <f>E140*4</f>
        <v/>
      </c>
      <c r="H140">
        <f>LET(total, INT(E140)*60 + (E140-INT(E140))*100, blocks, QUOTIENT(total, 15), extra, MOD(total, 15), units, blocks + IF(extra&gt;=8, 1, 0), units)</f>
        <v/>
      </c>
      <c r="J140">
        <f>IF(L140="Level 1", VLOOKUP(I140, UserCodes!E:F, 2, FALSE) * H140, IF(L140="Level 2", VLOOKUP(I140, UserCodes!E:F, 2, FALSE) * H140 * 0.8, 0))</f>
        <v/>
      </c>
      <c r="K140" t="inlineStr">
        <is>
          <t>Omar, Mohamed</t>
        </is>
      </c>
      <c r="L140">
        <f>VLOOKUP(K140, UserCodes!A:B, 2, FALSE)</f>
        <v/>
      </c>
    </row>
    <row r="141">
      <c r="A141" t="inlineStr">
        <is>
          <t>Abdullahi, Abdirahman</t>
        </is>
      </c>
      <c r="B141" s="3" t="n">
        <v>46009</v>
      </c>
      <c r="C141" t="inlineStr">
        <is>
          <t>01:00 PM - 05:00 PM</t>
        </is>
      </c>
      <c r="D141" t="inlineStr">
        <is>
          <t>04:00</t>
        </is>
      </c>
      <c r="E141">
        <f>HOUR(D141)+MINUTE(D141)/100</f>
        <v/>
      </c>
      <c r="F141">
        <f>ROUND(INT(E141) + (E141 - INT(E141)) * 100 / 60, 2)</f>
        <v/>
      </c>
      <c r="G141">
        <f>E141*4</f>
        <v/>
      </c>
      <c r="H141">
        <f>LET(total, INT(E141)*60 + (E141-INT(E141))*100, blocks, QUOTIENT(total, 15), extra, MOD(total, 15), units, blocks + IF(extra&gt;=8, 1, 0), units)</f>
        <v/>
      </c>
      <c r="J141">
        <f>IF(L141="Level 1", VLOOKUP(I141, UserCodes!E:F, 2, FALSE) * H141, IF(L141="Level 2", VLOOKUP(I141, UserCodes!E:F, 2, FALSE) * H141 * 0.8, 0))</f>
        <v/>
      </c>
      <c r="K141" t="inlineStr">
        <is>
          <t>Hawadle, Abdiaziz</t>
        </is>
      </c>
      <c r="L141">
        <f>VLOOKUP(K141, UserCodes!A:B, 2, FALSE)</f>
        <v/>
      </c>
    </row>
    <row r="142">
      <c r="A142" t="inlineStr">
        <is>
          <t>Abdullahi, Abdirahman</t>
        </is>
      </c>
      <c r="B142" s="3" t="n">
        <v>46008</v>
      </c>
      <c r="C142" t="inlineStr">
        <is>
          <t>01:00 PM - 05:00 PM</t>
        </is>
      </c>
      <c r="D142" t="inlineStr">
        <is>
          <t>04:00</t>
        </is>
      </c>
      <c r="E142">
        <f>HOUR(D142)+MINUTE(D142)/100</f>
        <v/>
      </c>
      <c r="F142">
        <f>ROUND(INT(E142) + (E142 - INT(E142)) * 100 / 60, 2)</f>
        <v/>
      </c>
      <c r="G142">
        <f>E142*4</f>
        <v/>
      </c>
      <c r="H142">
        <f>LET(total, INT(E142)*60 + (E142-INT(E142))*100, blocks, QUOTIENT(total, 15), extra, MOD(total, 15), units, blocks + IF(extra&gt;=8, 1, 0), units)</f>
        <v/>
      </c>
      <c r="J142">
        <f>IF(L142="Level 1", VLOOKUP(I142, UserCodes!E:F, 2, FALSE) * H142, IF(L142="Level 2", VLOOKUP(I142, UserCodes!E:F, 2, FALSE) * H142 * 0.8, 0))</f>
        <v/>
      </c>
      <c r="K142" t="inlineStr">
        <is>
          <t>Hawadle, Abdiaziz</t>
        </is>
      </c>
      <c r="L142">
        <f>VLOOKUP(K142, UserCodes!A:B, 2, FALSE)</f>
        <v/>
      </c>
    </row>
    <row r="143">
      <c r="A143" t="inlineStr">
        <is>
          <t>Abdullahi, Abdirahman</t>
        </is>
      </c>
      <c r="B143" s="3" t="n">
        <v>46008</v>
      </c>
      <c r="C143" t="inlineStr">
        <is>
          <t>12:45 PM - 02:50 PM</t>
        </is>
      </c>
      <c r="D143" t="inlineStr">
        <is>
          <t>02:05</t>
        </is>
      </c>
      <c r="E143">
        <f>HOUR(D143)+MINUTE(D143)/100</f>
        <v/>
      </c>
      <c r="F143">
        <f>ROUND(INT(E143) + (E143 - INT(E143)) * 100 / 60, 2)</f>
        <v/>
      </c>
      <c r="G143">
        <f>E143*4</f>
        <v/>
      </c>
      <c r="H143">
        <f>LET(total, INT(E143)*60 + (E143-INT(E143))*100, blocks, QUOTIENT(total, 15), extra, MOD(total, 15), units, blocks + IF(extra&gt;=8, 1, 0), units)</f>
        <v/>
      </c>
      <c r="J143">
        <f>IF(L143="Level 1", VLOOKUP(I143, UserCodes!E:F, 2, FALSE) * H143, IF(L143="Level 2", VLOOKUP(I143, UserCodes!E:F, 2, FALSE) * H143 * 0.8, 0))</f>
        <v/>
      </c>
      <c r="K143" t="inlineStr">
        <is>
          <t>Ahmed, Jama</t>
        </is>
      </c>
      <c r="L143">
        <f>VLOOKUP(K143, UserCodes!A:B, 2, FALSE)</f>
        <v/>
      </c>
    </row>
    <row r="144">
      <c r="A144" t="inlineStr">
        <is>
          <t>Abdullahi, Abdirahman</t>
        </is>
      </c>
      <c r="B144" s="3" t="n">
        <v>46007</v>
      </c>
      <c r="C144" t="inlineStr">
        <is>
          <t>01:00 PM - 05:00 PM</t>
        </is>
      </c>
      <c r="D144" t="inlineStr">
        <is>
          <t>04:00</t>
        </is>
      </c>
      <c r="E144">
        <f>HOUR(D144)+MINUTE(D144)/100</f>
        <v/>
      </c>
      <c r="F144">
        <f>ROUND(INT(E144) + (E144 - INT(E144)) * 100 / 60, 2)</f>
        <v/>
      </c>
      <c r="G144">
        <f>E144*4</f>
        <v/>
      </c>
      <c r="H144">
        <f>LET(total, INT(E144)*60 + (E144-INT(E144))*100, blocks, QUOTIENT(total, 15), extra, MOD(total, 15), units, blocks + IF(extra&gt;=8, 1, 0), units)</f>
        <v/>
      </c>
      <c r="J144">
        <f>IF(L144="Level 1", VLOOKUP(I144, UserCodes!E:F, 2, FALSE) * H144, IF(L144="Level 2", VLOOKUP(I144, UserCodes!E:F, 2, FALSE) * H144 * 0.8, 0))</f>
        <v/>
      </c>
      <c r="K144" t="inlineStr">
        <is>
          <t>Mohamed, Mohamed</t>
        </is>
      </c>
      <c r="L144">
        <f>VLOOKUP(K144, UserCodes!A:B, 2, FALSE)</f>
        <v/>
      </c>
    </row>
    <row r="145">
      <c r="A145" t="inlineStr">
        <is>
          <t>Abdullahi, Abdirahman</t>
        </is>
      </c>
      <c r="B145" s="3" t="n">
        <v>46007</v>
      </c>
      <c r="C145" t="inlineStr">
        <is>
          <t>01:00 PM - 04:00 PM</t>
        </is>
      </c>
      <c r="D145" t="inlineStr">
        <is>
          <t>03:00</t>
        </is>
      </c>
      <c r="E145">
        <f>HOUR(D145)+MINUTE(D145)/100</f>
        <v/>
      </c>
      <c r="F145">
        <f>ROUND(INT(E145) + (E145 - INT(E145)) * 100 / 60, 2)</f>
        <v/>
      </c>
      <c r="G145">
        <f>E145*4</f>
        <v/>
      </c>
      <c r="H145">
        <f>LET(total, INT(E145)*60 + (E145-INT(E145))*100, blocks, QUOTIENT(total, 15), extra, MOD(total, 15), units, blocks + IF(extra&gt;=8, 1, 0), units)</f>
        <v/>
      </c>
      <c r="J145">
        <f>IF(L145="Level 1", VLOOKUP(I145, UserCodes!E:F, 2, FALSE) * H145, IF(L145="Level 2", VLOOKUP(I145, UserCodes!E:F, 2, FALSE) * H145 * 0.8, 0))</f>
        <v/>
      </c>
      <c r="K145" t="inlineStr">
        <is>
          <t>Hawadle, Abdiaziz</t>
        </is>
      </c>
      <c r="L145">
        <f>VLOOKUP(K145, UserCodes!A:B, 2, FALSE)</f>
        <v/>
      </c>
    </row>
    <row r="146">
      <c r="A146" t="inlineStr">
        <is>
          <t>Abdullahi, Abdirahman</t>
        </is>
      </c>
      <c r="B146" s="3" t="n">
        <v>46006</v>
      </c>
      <c r="C146" t="inlineStr">
        <is>
          <t>04:00 PM - 05:00 PM</t>
        </is>
      </c>
      <c r="D146" t="inlineStr">
        <is>
          <t>01:00</t>
        </is>
      </c>
      <c r="E146">
        <f>HOUR(D146)+MINUTE(D146)/100</f>
        <v/>
      </c>
      <c r="F146">
        <f>ROUND(INT(E146) + (E146 - INT(E146)) * 100 / 60, 2)</f>
        <v/>
      </c>
      <c r="G146">
        <f>E146*4</f>
        <v/>
      </c>
      <c r="H146">
        <f>LET(total, INT(E146)*60 + (E146-INT(E146))*100, blocks, QUOTIENT(total, 15), extra, MOD(total, 15), units, blocks + IF(extra&gt;=8, 1, 0), units)</f>
        <v/>
      </c>
      <c r="J146">
        <f>IF(L146="Level 1", VLOOKUP(I146, UserCodes!E:F, 2, FALSE) * H146, IF(L146="Level 2", VLOOKUP(I146, UserCodes!E:F, 2, FALSE) * H146 * 0.8, 0))</f>
        <v/>
      </c>
      <c r="K146" t="inlineStr">
        <is>
          <t>Hawadle, Abdiaziz</t>
        </is>
      </c>
      <c r="L146">
        <f>VLOOKUP(K146, UserCodes!A:B, 2, FALSE)</f>
        <v/>
      </c>
    </row>
    <row r="147">
      <c r="A147" t="inlineStr">
        <is>
          <t>Abdullahi, Abdirahman</t>
        </is>
      </c>
      <c r="B147" s="3" t="n">
        <v>46006</v>
      </c>
      <c r="C147" t="inlineStr">
        <is>
          <t>01:00 PM - 04:00 PM</t>
        </is>
      </c>
      <c r="D147" t="inlineStr">
        <is>
          <t>03:00</t>
        </is>
      </c>
      <c r="E147">
        <f>HOUR(D147)+MINUTE(D147)/100</f>
        <v/>
      </c>
      <c r="F147">
        <f>ROUND(INT(E147) + (E147 - INT(E147)) * 100 / 60, 2)</f>
        <v/>
      </c>
      <c r="G147">
        <f>E147*4</f>
        <v/>
      </c>
      <c r="H147">
        <f>LET(total, INT(E147)*60 + (E147-INT(E147))*100, blocks, QUOTIENT(total, 15), extra, MOD(total, 15), units, blocks + IF(extra&gt;=8, 1, 0), units)</f>
        <v/>
      </c>
      <c r="J147">
        <f>IF(L147="Level 1", VLOOKUP(I147, UserCodes!E:F, 2, FALSE) * H147, IF(L147="Level 2", VLOOKUP(I147, UserCodes!E:F, 2, FALSE) * H147 * 0.8, 0))</f>
        <v/>
      </c>
      <c r="K147" t="inlineStr">
        <is>
          <t>Ali, Nasteho</t>
        </is>
      </c>
      <c r="L147">
        <f>VLOOKUP(K147, UserCodes!A:B, 2, FALSE)</f>
        <v/>
      </c>
    </row>
    <row r="148">
      <c r="A148" t="inlineStr">
        <is>
          <t>Abdullahi, Abdirahman</t>
        </is>
      </c>
      <c r="B148" s="3" t="n">
        <v>46005</v>
      </c>
      <c r="C148" t="inlineStr">
        <is>
          <t>12:50 PM - 03:30 PM</t>
        </is>
      </c>
      <c r="D148" t="inlineStr">
        <is>
          <t>02:40</t>
        </is>
      </c>
      <c r="E148">
        <f>HOUR(D148)+MINUTE(D148)/100</f>
        <v/>
      </c>
      <c r="F148">
        <f>ROUND(INT(E148) + (E148 - INT(E148)) * 100 / 60, 2)</f>
        <v/>
      </c>
      <c r="G148">
        <f>E148*4</f>
        <v/>
      </c>
      <c r="H148">
        <f>LET(total, INT(E148)*60 + (E148-INT(E148))*100, blocks, QUOTIENT(total, 15), extra, MOD(total, 15), units, blocks + IF(extra&gt;=8, 1, 0), units)</f>
        <v/>
      </c>
      <c r="J148">
        <f>IF(L148="Level 1", VLOOKUP(I148, UserCodes!E:F, 2, FALSE) * H148, IF(L148="Level 2", VLOOKUP(I148, UserCodes!E:F, 2, FALSE) * H148 * 0.8, 0))</f>
        <v/>
      </c>
      <c r="K148" t="inlineStr">
        <is>
          <t>Ahmed, Jama</t>
        </is>
      </c>
      <c r="L148">
        <f>VLOOKUP(K148, UserCodes!A:B, 2, FALSE)</f>
        <v/>
      </c>
    </row>
    <row r="149">
      <c r="A149" t="inlineStr">
        <is>
          <t>Abdullahi, Abdirahman</t>
        </is>
      </c>
      <c r="B149" s="3" t="n">
        <v>46003</v>
      </c>
      <c r="C149" t="inlineStr">
        <is>
          <t>12:00 PM - 05:00 PM</t>
        </is>
      </c>
      <c r="D149" t="inlineStr">
        <is>
          <t>05:00</t>
        </is>
      </c>
      <c r="E149">
        <f>HOUR(D149)+MINUTE(D149)/100</f>
        <v/>
      </c>
      <c r="F149">
        <f>ROUND(INT(E149) + (E149 - INT(E149)) * 100 / 60, 2)</f>
        <v/>
      </c>
      <c r="G149">
        <f>E149*4</f>
        <v/>
      </c>
      <c r="H149">
        <f>LET(total, INT(E149)*60 + (E149-INT(E149))*100, blocks, QUOTIENT(total, 15), extra, MOD(total, 15), units, blocks + IF(extra&gt;=8, 1, 0), units)</f>
        <v/>
      </c>
      <c r="J149">
        <f>IF(L149="Level 1", VLOOKUP(I149, UserCodes!E:F, 2, FALSE) * H149, IF(L149="Level 2", VLOOKUP(I149, UserCodes!E:F, 2, FALSE) * H149 * 0.8, 0))</f>
        <v/>
      </c>
      <c r="K149" t="inlineStr">
        <is>
          <t>Mohamed, Mohamed</t>
        </is>
      </c>
      <c r="L149">
        <f>VLOOKUP(K149, UserCodes!A:B, 2, FALSE)</f>
        <v/>
      </c>
    </row>
    <row r="150">
      <c r="A150" t="inlineStr">
        <is>
          <t>Abdullahi, Abdirahman</t>
        </is>
      </c>
      <c r="B150" s="3" t="n">
        <v>46003</v>
      </c>
      <c r="C150" t="inlineStr">
        <is>
          <t>12:00 PM - 03:00 PM</t>
        </is>
      </c>
      <c r="D150" t="inlineStr">
        <is>
          <t>03:00</t>
        </is>
      </c>
      <c r="E150">
        <f>HOUR(D150)+MINUTE(D150)/100</f>
        <v/>
      </c>
      <c r="F150">
        <f>ROUND(INT(E150) + (E150 - INT(E150)) * 100 / 60, 2)</f>
        <v/>
      </c>
      <c r="G150">
        <f>E150*4</f>
        <v/>
      </c>
      <c r="H150">
        <f>LET(total, INT(E150)*60 + (E150-INT(E150))*100, blocks, QUOTIENT(total, 15), extra, MOD(total, 15), units, blocks + IF(extra&gt;=8, 1, 0), units)</f>
        <v/>
      </c>
      <c r="J150">
        <f>IF(L150="Level 1", VLOOKUP(I150, UserCodes!E:F, 2, FALSE) * H150, IF(L150="Level 2", VLOOKUP(I150, UserCodes!E:F, 2, FALSE) * H150 * 0.8, 0))</f>
        <v/>
      </c>
      <c r="K150" t="inlineStr">
        <is>
          <t>Hawadle, Abdiaziz</t>
        </is>
      </c>
      <c r="L150">
        <f>VLOOKUP(K150, UserCodes!A:B, 2, FALSE)</f>
        <v/>
      </c>
    </row>
    <row r="151">
      <c r="A151" t="inlineStr">
        <is>
          <t>Abdullahi, Abdirahman</t>
        </is>
      </c>
      <c r="B151" s="3" t="n">
        <v>46002</v>
      </c>
      <c r="C151" t="inlineStr">
        <is>
          <t>01:00 PM - 04:00 PM</t>
        </is>
      </c>
      <c r="D151" t="inlineStr">
        <is>
          <t>03:00</t>
        </is>
      </c>
      <c r="E151">
        <f>HOUR(D151)+MINUTE(D151)/100</f>
        <v/>
      </c>
      <c r="F151">
        <f>ROUND(INT(E151) + (E151 - INT(E151)) * 100 / 60, 2)</f>
        <v/>
      </c>
      <c r="G151">
        <f>E151*4</f>
        <v/>
      </c>
      <c r="H151">
        <f>LET(total, INT(E151)*60 + (E151-INT(E151))*100, blocks, QUOTIENT(total, 15), extra, MOD(total, 15), units, blocks + IF(extra&gt;=8, 1, 0), units)</f>
        <v/>
      </c>
      <c r="J151">
        <f>IF(L151="Level 1", VLOOKUP(I151, UserCodes!E:F, 2, FALSE) * H151, IF(L151="Level 2", VLOOKUP(I151, UserCodes!E:F, 2, FALSE) * H151 * 0.8, 0))</f>
        <v/>
      </c>
      <c r="K151" t="inlineStr">
        <is>
          <t>Hawadle, Abdiaziz</t>
        </is>
      </c>
      <c r="L151">
        <f>VLOOKUP(K151, UserCodes!A:B, 2, FALSE)</f>
        <v/>
      </c>
    </row>
    <row r="152">
      <c r="A152" t="inlineStr">
        <is>
          <t>Abdullahi, Abdirahman</t>
        </is>
      </c>
      <c r="B152" s="3" t="n">
        <v>46002</v>
      </c>
      <c r="C152" t="inlineStr">
        <is>
          <t>01:00 PM - 05:00 PM</t>
        </is>
      </c>
      <c r="D152" t="inlineStr">
        <is>
          <t>04:00</t>
        </is>
      </c>
      <c r="E152">
        <f>HOUR(D152)+MINUTE(D152)/100</f>
        <v/>
      </c>
      <c r="F152">
        <f>ROUND(INT(E152) + (E152 - INT(E152)) * 100 / 60, 2)</f>
        <v/>
      </c>
      <c r="G152">
        <f>E152*4</f>
        <v/>
      </c>
      <c r="H152">
        <f>LET(total, INT(E152)*60 + (E152-INT(E152))*100, blocks, QUOTIENT(total, 15), extra, MOD(total, 15), units, blocks + IF(extra&gt;=8, 1, 0), units)</f>
        <v/>
      </c>
      <c r="J152">
        <f>IF(L152="Level 1", VLOOKUP(I152, UserCodes!E:F, 2, FALSE) * H152, IF(L152="Level 2", VLOOKUP(I152, UserCodes!E:F, 2, FALSE) * H152 * 0.8, 0))</f>
        <v/>
      </c>
      <c r="K152" t="inlineStr">
        <is>
          <t>ALI, AMIRA</t>
        </is>
      </c>
      <c r="L152">
        <f>VLOOKUP(K152, UserCodes!A:B, 2, FALSE)</f>
        <v/>
      </c>
    </row>
    <row r="153">
      <c r="A153" t="inlineStr">
        <is>
          <t>Abdullahi, Abdirahman</t>
        </is>
      </c>
      <c r="B153" s="3" t="n">
        <v>46002</v>
      </c>
      <c r="C153" t="inlineStr">
        <is>
          <t>09:30 AM - 11:45 AM</t>
        </is>
      </c>
      <c r="D153" t="inlineStr">
        <is>
          <t>02:15</t>
        </is>
      </c>
      <c r="E153">
        <f>HOUR(D153)+MINUTE(D153)/100</f>
        <v/>
      </c>
      <c r="F153">
        <f>ROUND(INT(E153) + (E153 - INT(E153)) * 100 / 60, 2)</f>
        <v/>
      </c>
      <c r="G153">
        <f>E153*4</f>
        <v/>
      </c>
      <c r="H153">
        <f>LET(total, INT(E153)*60 + (E153-INT(E153))*100, blocks, QUOTIENT(total, 15), extra, MOD(total, 15), units, blocks + IF(extra&gt;=8, 1, 0), units)</f>
        <v/>
      </c>
      <c r="J153">
        <f>IF(L153="Level 1", VLOOKUP(I153, UserCodes!E:F, 2, FALSE) * H153, IF(L153="Level 2", VLOOKUP(I153, UserCodes!E:F, 2, FALSE) * H153 * 0.8, 0))</f>
        <v/>
      </c>
      <c r="K153" t="inlineStr">
        <is>
          <t>Ahmed, Jama</t>
        </is>
      </c>
      <c r="L153">
        <f>VLOOKUP(K153, UserCodes!A:B, 2, FALSE)</f>
        <v/>
      </c>
    </row>
    <row r="154">
      <c r="A154" t="inlineStr">
        <is>
          <t>Ali, Saami</t>
        </is>
      </c>
      <c r="B154" s="3" t="n">
        <v>46014</v>
      </c>
      <c r="C154" t="inlineStr">
        <is>
          <t>12:30 PM - 08:00 PM</t>
        </is>
      </c>
      <c r="D154" t="inlineStr">
        <is>
          <t>07:30</t>
        </is>
      </c>
      <c r="E154">
        <f>HOUR(D154)+MINUTE(D154)/100</f>
        <v/>
      </c>
      <c r="F154">
        <f>ROUND(INT(E154) + (E154 - INT(E154)) * 100 / 60, 2)</f>
        <v/>
      </c>
      <c r="G154">
        <f>E154*4</f>
        <v/>
      </c>
      <c r="H154">
        <f>LET(total, INT(E154)*60 + (E154-INT(E154))*100, blocks, QUOTIENT(total, 15), extra, MOD(total, 15), units, blocks + IF(extra&gt;=8, 1, 0), units)</f>
        <v/>
      </c>
      <c r="J154">
        <f>IF(L154="Level 1", VLOOKUP(I154, UserCodes!E:F, 2, FALSE) * H154, IF(L154="Level 2", VLOOKUP(I154, UserCodes!E:F, 2, FALSE) * H154 * 0.8, 0))</f>
        <v/>
      </c>
      <c r="K154" t="inlineStr">
        <is>
          <t>Muse, Aaliya</t>
        </is>
      </c>
      <c r="L154">
        <f>VLOOKUP(K154, UserCodes!A:B, 2, FALSE)</f>
        <v/>
      </c>
    </row>
    <row r="155">
      <c r="A155" t="inlineStr">
        <is>
          <t>Ali, Saami</t>
        </is>
      </c>
      <c r="B155" s="3" t="n">
        <v>46013</v>
      </c>
      <c r="C155" t="inlineStr">
        <is>
          <t>03:00 PM - 08:00 PM</t>
        </is>
      </c>
      <c r="D155" t="inlineStr">
        <is>
          <t>05:00</t>
        </is>
      </c>
      <c r="E155">
        <f>HOUR(D155)+MINUTE(D155)/100</f>
        <v/>
      </c>
      <c r="F155">
        <f>ROUND(INT(E155) + (E155 - INT(E155)) * 100 / 60, 2)</f>
        <v/>
      </c>
      <c r="G155">
        <f>E155*4</f>
        <v/>
      </c>
      <c r="H155">
        <f>LET(total, INT(E155)*60 + (E155-INT(E155))*100, blocks, QUOTIENT(total, 15), extra, MOD(total, 15), units, blocks + IF(extra&gt;=8, 1, 0), units)</f>
        <v/>
      </c>
      <c r="J155">
        <f>IF(L155="Level 1", VLOOKUP(I155, UserCodes!E:F, 2, FALSE) * H155, IF(L155="Level 2", VLOOKUP(I155, UserCodes!E:F, 2, FALSE) * H155 * 0.8, 0))</f>
        <v/>
      </c>
      <c r="K155" t="inlineStr">
        <is>
          <t>Muse, Aaliya</t>
        </is>
      </c>
      <c r="L155">
        <f>VLOOKUP(K155, UserCodes!A:B, 2, FALSE)</f>
        <v/>
      </c>
    </row>
    <row r="156">
      <c r="A156" t="inlineStr">
        <is>
          <t>Ali, Saami</t>
        </is>
      </c>
      <c r="B156" s="3" t="n">
        <v>46011</v>
      </c>
      <c r="C156" t="inlineStr">
        <is>
          <t>10:40 AM - 06:00 PM</t>
        </is>
      </c>
      <c r="D156" t="inlineStr">
        <is>
          <t>07:20</t>
        </is>
      </c>
      <c r="E156">
        <f>HOUR(D156)+MINUTE(D156)/100</f>
        <v/>
      </c>
      <c r="F156">
        <f>ROUND(INT(E156) + (E156 - INT(E156)) * 100 / 60, 2)</f>
        <v/>
      </c>
      <c r="G156">
        <f>E156*4</f>
        <v/>
      </c>
      <c r="H156">
        <f>LET(total, INT(E156)*60 + (E156-INT(E156))*100, blocks, QUOTIENT(total, 15), extra, MOD(total, 15), units, blocks + IF(extra&gt;=8, 1, 0), units)</f>
        <v/>
      </c>
      <c r="J156">
        <f>IF(L156="Level 1", VLOOKUP(I156, UserCodes!E:F, 2, FALSE) * H156, IF(L156="Level 2", VLOOKUP(I156, UserCodes!E:F, 2, FALSE) * H156 * 0.8, 0))</f>
        <v/>
      </c>
      <c r="K156" t="inlineStr">
        <is>
          <t>Muse, Aaliya</t>
        </is>
      </c>
      <c r="L156">
        <f>VLOOKUP(K156, UserCodes!A:B, 2, FALSE)</f>
        <v/>
      </c>
    </row>
    <row r="157">
      <c r="A157" t="inlineStr">
        <is>
          <t>Ali, Saami</t>
        </is>
      </c>
      <c r="B157" s="3" t="n">
        <v>46010</v>
      </c>
      <c r="C157" t="inlineStr">
        <is>
          <t>03:30 PM - 07:40 PM</t>
        </is>
      </c>
      <c r="D157" t="inlineStr">
        <is>
          <t>04:10</t>
        </is>
      </c>
      <c r="E157">
        <f>HOUR(D157)+MINUTE(D157)/100</f>
        <v/>
      </c>
      <c r="F157">
        <f>ROUND(INT(E157) + (E157 - INT(E157)) * 100 / 60, 2)</f>
        <v/>
      </c>
      <c r="G157">
        <f>E157*4</f>
        <v/>
      </c>
      <c r="H157">
        <f>LET(total, INT(E157)*60 + (E157-INT(E157))*100, blocks, QUOTIENT(total, 15), extra, MOD(total, 15), units, blocks + IF(extra&gt;=8, 1, 0), units)</f>
        <v/>
      </c>
      <c r="J157">
        <f>IF(L157="Level 1", VLOOKUP(I157, UserCodes!E:F, 2, FALSE) * H157, IF(L157="Level 2", VLOOKUP(I157, UserCodes!E:F, 2, FALSE) * H157 * 0.8, 0))</f>
        <v/>
      </c>
      <c r="K157" t="inlineStr">
        <is>
          <t>Muse, Aaliya</t>
        </is>
      </c>
      <c r="L157">
        <f>VLOOKUP(K157, UserCodes!A:B, 2, FALSE)</f>
        <v/>
      </c>
    </row>
    <row r="158">
      <c r="A158" t="inlineStr">
        <is>
          <t>Ali, Saami</t>
        </is>
      </c>
      <c r="B158" s="3" t="n">
        <v>46009</v>
      </c>
      <c r="C158" t="inlineStr">
        <is>
          <t>03:00 PM - 08:00 PM</t>
        </is>
      </c>
      <c r="D158" t="inlineStr">
        <is>
          <t>05:00</t>
        </is>
      </c>
      <c r="E158">
        <f>HOUR(D158)+MINUTE(D158)/100</f>
        <v/>
      </c>
      <c r="F158">
        <f>ROUND(INT(E158) + (E158 - INT(E158)) * 100 / 60, 2)</f>
        <v/>
      </c>
      <c r="G158">
        <f>E158*4</f>
        <v/>
      </c>
      <c r="H158">
        <f>LET(total, INT(E158)*60 + (E158-INT(E158))*100, blocks, QUOTIENT(total, 15), extra, MOD(total, 15), units, blocks + IF(extra&gt;=8, 1, 0), units)</f>
        <v/>
      </c>
      <c r="J158">
        <f>IF(L158="Level 1", VLOOKUP(I158, UserCodes!E:F, 2, FALSE) * H158, IF(L158="Level 2", VLOOKUP(I158, UserCodes!E:F, 2, FALSE) * H158 * 0.8, 0))</f>
        <v/>
      </c>
      <c r="K158" t="inlineStr">
        <is>
          <t>Muse, Aaliya</t>
        </is>
      </c>
      <c r="L158">
        <f>VLOOKUP(K158, UserCodes!A:B, 2, FALSE)</f>
        <v/>
      </c>
    </row>
    <row r="159">
      <c r="A159" t="inlineStr">
        <is>
          <t>Ali, Saami</t>
        </is>
      </c>
      <c r="B159" s="3" t="n">
        <v>46008</v>
      </c>
      <c r="C159" t="inlineStr">
        <is>
          <t>03:20 PM - 08:00 PM</t>
        </is>
      </c>
      <c r="D159" t="inlineStr">
        <is>
          <t>04:40</t>
        </is>
      </c>
      <c r="E159">
        <f>HOUR(D159)+MINUTE(D159)/100</f>
        <v/>
      </c>
      <c r="F159">
        <f>ROUND(INT(E159) + (E159 - INT(E159)) * 100 / 60, 2)</f>
        <v/>
      </c>
      <c r="G159">
        <f>E159*4</f>
        <v/>
      </c>
      <c r="H159">
        <f>LET(total, INT(E159)*60 + (E159-INT(E159))*100, blocks, QUOTIENT(total, 15), extra, MOD(total, 15), units, blocks + IF(extra&gt;=8, 1, 0), units)</f>
        <v/>
      </c>
      <c r="J159">
        <f>IF(L159="Level 1", VLOOKUP(I159, UserCodes!E:F, 2, FALSE) * H159, IF(L159="Level 2", VLOOKUP(I159, UserCodes!E:F, 2, FALSE) * H159 * 0.8, 0))</f>
        <v/>
      </c>
      <c r="K159" t="inlineStr">
        <is>
          <t>Muse, Aaliya</t>
        </is>
      </c>
      <c r="L159">
        <f>VLOOKUP(K159, UserCodes!A:B, 2, FALSE)</f>
        <v/>
      </c>
    </row>
    <row r="160">
      <c r="A160" t="inlineStr">
        <is>
          <t>Ali, Saami</t>
        </is>
      </c>
      <c r="B160" s="3" t="n">
        <v>46007</v>
      </c>
      <c r="C160" t="inlineStr">
        <is>
          <t>03:30 PM - 08:00 PM</t>
        </is>
      </c>
      <c r="D160" t="inlineStr">
        <is>
          <t>04:30</t>
        </is>
      </c>
      <c r="E160">
        <f>HOUR(D160)+MINUTE(D160)/100</f>
        <v/>
      </c>
      <c r="F160">
        <f>ROUND(INT(E160) + (E160 - INT(E160)) * 100 / 60, 2)</f>
        <v/>
      </c>
      <c r="G160">
        <f>E160*4</f>
        <v/>
      </c>
      <c r="H160">
        <f>LET(total, INT(E160)*60 + (E160-INT(E160))*100, blocks, QUOTIENT(total, 15), extra, MOD(total, 15), units, blocks + IF(extra&gt;=8, 1, 0), units)</f>
        <v/>
      </c>
      <c r="J160">
        <f>IF(L160="Level 1", VLOOKUP(I160, UserCodes!E:F, 2, FALSE) * H160, IF(L160="Level 2", VLOOKUP(I160, UserCodes!E:F, 2, FALSE) * H160 * 0.8, 0))</f>
        <v/>
      </c>
      <c r="K160" t="inlineStr">
        <is>
          <t>Muse, Aaliya</t>
        </is>
      </c>
      <c r="L160">
        <f>VLOOKUP(K160, UserCodes!A:B, 2, FALSE)</f>
        <v/>
      </c>
    </row>
    <row r="161">
      <c r="A161" t="inlineStr">
        <is>
          <t>Ali, Saami</t>
        </is>
      </c>
      <c r="B161" s="3" t="n">
        <v>46006</v>
      </c>
      <c r="C161" t="inlineStr">
        <is>
          <t>06:00 PM - 07:00 PM</t>
        </is>
      </c>
      <c r="D161" t="inlineStr">
        <is>
          <t>01:00</t>
        </is>
      </c>
      <c r="E161">
        <f>HOUR(D161)+MINUTE(D161)/100</f>
        <v/>
      </c>
      <c r="F161">
        <f>ROUND(INT(E161) + (E161 - INT(E161)) * 100 / 60, 2)</f>
        <v/>
      </c>
      <c r="G161">
        <f>E161*4</f>
        <v/>
      </c>
      <c r="H161">
        <f>LET(total, INT(E161)*60 + (E161-INT(E161))*100, blocks, QUOTIENT(total, 15), extra, MOD(total, 15), units, blocks + IF(extra&gt;=8, 1, 0), units)</f>
        <v/>
      </c>
      <c r="J161">
        <f>IF(L161="Level 1", VLOOKUP(I161, UserCodes!E:F, 2, FALSE) * H161, IF(L161="Level 2", VLOOKUP(I161, UserCodes!E:F, 2, FALSE) * H161 * 0.8, 0))</f>
        <v/>
      </c>
      <c r="K161" t="inlineStr">
        <is>
          <t>Barqab, Mushtaq</t>
        </is>
      </c>
      <c r="L161">
        <f>VLOOKUP(K161, UserCodes!A:B, 2, FALSE)</f>
        <v/>
      </c>
    </row>
    <row r="162">
      <c r="A162" t="inlineStr">
        <is>
          <t>Ali, Saami</t>
        </is>
      </c>
      <c r="B162" s="3" t="n">
        <v>46006</v>
      </c>
      <c r="C162" t="inlineStr">
        <is>
          <t>03:15 PM - 08:00 PM</t>
        </is>
      </c>
      <c r="D162" t="inlineStr">
        <is>
          <t>04:45</t>
        </is>
      </c>
      <c r="E162">
        <f>HOUR(D162)+MINUTE(D162)/100</f>
        <v/>
      </c>
      <c r="F162">
        <f>ROUND(INT(E162) + (E162 - INT(E162)) * 100 / 60, 2)</f>
        <v/>
      </c>
      <c r="G162">
        <f>E162*4</f>
        <v/>
      </c>
      <c r="H162">
        <f>LET(total, INT(E162)*60 + (E162-INT(E162))*100, blocks, QUOTIENT(total, 15), extra, MOD(total, 15), units, blocks + IF(extra&gt;=8, 1, 0), units)</f>
        <v/>
      </c>
      <c r="J162">
        <f>IF(L162="Level 1", VLOOKUP(I162, UserCodes!E:F, 2, FALSE) * H162, IF(L162="Level 2", VLOOKUP(I162, UserCodes!E:F, 2, FALSE) * H162 * 0.8, 0))</f>
        <v/>
      </c>
      <c r="K162" t="inlineStr">
        <is>
          <t>Muse, Aaliya</t>
        </is>
      </c>
      <c r="L162">
        <f>VLOOKUP(K162, UserCodes!A:B, 2, FALSE)</f>
        <v/>
      </c>
    </row>
    <row r="163">
      <c r="A163" t="inlineStr">
        <is>
          <t>Ali, Saami</t>
        </is>
      </c>
      <c r="B163" s="3" t="n">
        <v>46003</v>
      </c>
      <c r="C163" t="inlineStr">
        <is>
          <t>06:15 PM - 08:00 PM</t>
        </is>
      </c>
      <c r="D163" t="inlineStr">
        <is>
          <t>01:45</t>
        </is>
      </c>
      <c r="E163">
        <f>HOUR(D163)+MINUTE(D163)/100</f>
        <v/>
      </c>
      <c r="F163">
        <f>ROUND(INT(E163) + (E163 - INT(E163)) * 100 / 60, 2)</f>
        <v/>
      </c>
      <c r="G163">
        <f>E163*4</f>
        <v/>
      </c>
      <c r="H163">
        <f>LET(total, INT(E163)*60 + (E163-INT(E163))*100, blocks, QUOTIENT(total, 15), extra, MOD(total, 15), units, blocks + IF(extra&gt;=8, 1, 0), units)</f>
        <v/>
      </c>
      <c r="J163">
        <f>IF(L163="Level 1", VLOOKUP(I163, UserCodes!E:F, 2, FALSE) * H163, IF(L163="Level 2", VLOOKUP(I163, UserCodes!E:F, 2, FALSE) * H163 * 0.8, 0))</f>
        <v/>
      </c>
      <c r="K163" t="inlineStr">
        <is>
          <t>Muse, Adna</t>
        </is>
      </c>
      <c r="L163">
        <f>VLOOKUP(K163, UserCodes!A:B, 2, FALSE)</f>
        <v/>
      </c>
    </row>
    <row r="164">
      <c r="A164" t="inlineStr">
        <is>
          <t>Ali, Saami</t>
        </is>
      </c>
      <c r="B164" s="3" t="n">
        <v>46003</v>
      </c>
      <c r="C164" t="inlineStr">
        <is>
          <t>03:00 PM - 08:00 PM</t>
        </is>
      </c>
      <c r="D164" t="inlineStr">
        <is>
          <t>05:00</t>
        </is>
      </c>
      <c r="E164">
        <f>HOUR(D164)+MINUTE(D164)/100</f>
        <v/>
      </c>
      <c r="F164">
        <f>ROUND(INT(E164) + (E164 - INT(E164)) * 100 / 60, 2)</f>
        <v/>
      </c>
      <c r="G164">
        <f>E164*4</f>
        <v/>
      </c>
      <c r="H164">
        <f>LET(total, INT(E164)*60 + (E164-INT(E164))*100, blocks, QUOTIENT(total, 15), extra, MOD(total, 15), units, blocks + IF(extra&gt;=8, 1, 0), units)</f>
        <v/>
      </c>
      <c r="J164">
        <f>IF(L164="Level 1", VLOOKUP(I164, UserCodes!E:F, 2, FALSE) * H164, IF(L164="Level 2", VLOOKUP(I164, UserCodes!E:F, 2, FALSE) * H164 * 0.8, 0))</f>
        <v/>
      </c>
      <c r="K164" t="inlineStr">
        <is>
          <t>Muse, Aaliya</t>
        </is>
      </c>
      <c r="L164">
        <f>VLOOKUP(K164, UserCodes!A:B, 2, FALSE)</f>
        <v/>
      </c>
    </row>
    <row r="165">
      <c r="A165" t="inlineStr">
        <is>
          <t>Ali, Saami</t>
        </is>
      </c>
      <c r="B165" s="3" t="n">
        <v>46002</v>
      </c>
      <c r="C165" t="inlineStr">
        <is>
          <t>05:00 PM - 08:00 PM</t>
        </is>
      </c>
      <c r="D165" t="inlineStr">
        <is>
          <t>03:00</t>
        </is>
      </c>
      <c r="E165">
        <f>HOUR(D165)+MINUTE(D165)/100</f>
        <v/>
      </c>
      <c r="F165">
        <f>ROUND(INT(E165) + (E165 - INT(E165)) * 100 / 60, 2)</f>
        <v/>
      </c>
      <c r="G165">
        <f>E165*4</f>
        <v/>
      </c>
      <c r="H165">
        <f>LET(total, INT(E165)*60 + (E165-INT(E165))*100, blocks, QUOTIENT(total, 15), extra, MOD(total, 15), units, blocks + IF(extra&gt;=8, 1, 0), units)</f>
        <v/>
      </c>
      <c r="J165">
        <f>IF(L165="Level 1", VLOOKUP(I165, UserCodes!E:F, 2, FALSE) * H165, IF(L165="Level 2", VLOOKUP(I165, UserCodes!E:F, 2, FALSE) * H165 * 0.8, 0))</f>
        <v/>
      </c>
      <c r="K165" t="inlineStr">
        <is>
          <t>Ibrahim, Ahmed</t>
        </is>
      </c>
      <c r="L165">
        <f>VLOOKUP(K165, UserCodes!A:B, 2, FALSE)</f>
        <v/>
      </c>
    </row>
    <row r="166">
      <c r="A166" t="inlineStr">
        <is>
          <t>Ali, Saami</t>
        </is>
      </c>
      <c r="B166" s="3" t="n">
        <v>46002</v>
      </c>
      <c r="C166" t="inlineStr">
        <is>
          <t>03:50 PM - 08:00 PM</t>
        </is>
      </c>
      <c r="D166" t="inlineStr">
        <is>
          <t>04:10</t>
        </is>
      </c>
      <c r="E166">
        <f>HOUR(D166)+MINUTE(D166)/100</f>
        <v/>
      </c>
      <c r="F166">
        <f>ROUND(INT(E166) + (E166 - INT(E166)) * 100 / 60, 2)</f>
        <v/>
      </c>
      <c r="G166">
        <f>E166*4</f>
        <v/>
      </c>
      <c r="H166">
        <f>LET(total, INT(E166)*60 + (E166-INT(E166))*100, blocks, QUOTIENT(total, 15), extra, MOD(total, 15), units, blocks + IF(extra&gt;=8, 1, 0), units)</f>
        <v/>
      </c>
      <c r="J166">
        <f>IF(L166="Level 1", VLOOKUP(I166, UserCodes!E:F, 2, FALSE) * H166, IF(L166="Level 2", VLOOKUP(I166, UserCodes!E:F, 2, FALSE) * H166 * 0.8, 0))</f>
        <v/>
      </c>
      <c r="K166" t="inlineStr">
        <is>
          <t>Muse, Aaliya</t>
        </is>
      </c>
      <c r="L166">
        <f>VLOOKUP(K166, UserCodes!A:B, 2, FALSE)</f>
        <v/>
      </c>
    </row>
    <row r="167">
      <c r="A167" t="inlineStr">
        <is>
          <t>Jama, Khadija</t>
        </is>
      </c>
      <c r="B167" s="3" t="n">
        <v>46014</v>
      </c>
      <c r="C167" t="inlineStr">
        <is>
          <t>01:30 PM - 04:30 PM</t>
        </is>
      </c>
      <c r="D167" t="inlineStr">
        <is>
          <t>03:00</t>
        </is>
      </c>
      <c r="E167">
        <f>HOUR(D167)+MINUTE(D167)/100</f>
        <v/>
      </c>
      <c r="F167">
        <f>ROUND(INT(E167) + (E167 - INT(E167)) * 100 / 60, 2)</f>
        <v/>
      </c>
      <c r="G167">
        <f>E167*4</f>
        <v/>
      </c>
      <c r="H167">
        <f>LET(total, INT(E167)*60 + (E167-INT(E167))*100, blocks, QUOTIENT(total, 15), extra, MOD(total, 15), units, blocks + IF(extra&gt;=8, 1, 0), units)</f>
        <v/>
      </c>
      <c r="J167">
        <f>IF(L167="Level 1", VLOOKUP(I167, UserCodes!E:F, 2, FALSE) * H167, IF(L167="Level 2", VLOOKUP(I167, UserCodes!E:F, 2, FALSE) * H167 * 0.8, 0))</f>
        <v/>
      </c>
      <c r="K167" t="inlineStr">
        <is>
          <t>Noor, Kamilo</t>
        </is>
      </c>
      <c r="L167">
        <f>VLOOKUP(K167, UserCodes!A:B, 2, FALSE)</f>
        <v/>
      </c>
    </row>
    <row r="168">
      <c r="A168" t="inlineStr">
        <is>
          <t>Jama, Khadija</t>
        </is>
      </c>
      <c r="B168" s="3" t="n">
        <v>46014</v>
      </c>
      <c r="C168" t="inlineStr">
        <is>
          <t>01:30 PM - 05:00 PM</t>
        </is>
      </c>
      <c r="D168" t="inlineStr">
        <is>
          <t>03:30</t>
        </is>
      </c>
      <c r="E168">
        <f>HOUR(D168)+MINUTE(D168)/100</f>
        <v/>
      </c>
      <c r="F168">
        <f>ROUND(INT(E168) + (E168 - INT(E168)) * 100 / 60, 2)</f>
        <v/>
      </c>
      <c r="G168">
        <f>E168*4</f>
        <v/>
      </c>
      <c r="H168">
        <f>LET(total, INT(E168)*60 + (E168-INT(E168))*100, blocks, QUOTIENT(total, 15), extra, MOD(total, 15), units, blocks + IF(extra&gt;=8, 1, 0), units)</f>
        <v/>
      </c>
      <c r="J168">
        <f>IF(L168="Level 1", VLOOKUP(I168, UserCodes!E:F, 2, FALSE) * H168, IF(L168="Level 2", VLOOKUP(I168, UserCodes!E:F, 2, FALSE) * H168 * 0.8, 0))</f>
        <v/>
      </c>
      <c r="K168" t="inlineStr">
        <is>
          <t>Barqab, Mushtaq</t>
        </is>
      </c>
      <c r="L168">
        <f>VLOOKUP(K168, UserCodes!A:B, 2, FALSE)</f>
        <v/>
      </c>
    </row>
    <row r="169">
      <c r="A169" t="inlineStr">
        <is>
          <t>Jama, Khadija</t>
        </is>
      </c>
      <c r="B169" s="3" t="n">
        <v>46014</v>
      </c>
      <c r="C169" t="inlineStr">
        <is>
          <t>01:00 PM - 01:30 PM</t>
        </is>
      </c>
      <c r="D169" t="inlineStr">
        <is>
          <t>00:30</t>
        </is>
      </c>
      <c r="E169">
        <f>HOUR(D169)+MINUTE(D169)/100</f>
        <v/>
      </c>
      <c r="F169">
        <f>ROUND(INT(E169) + (E169 - INT(E169)) * 100 / 60, 2)</f>
        <v/>
      </c>
      <c r="G169">
        <f>E169*4</f>
        <v/>
      </c>
      <c r="H169">
        <f>LET(total, INT(E169)*60 + (E169-INT(E169))*100, blocks, QUOTIENT(total, 15), extra, MOD(total, 15), units, blocks + IF(extra&gt;=8, 1, 0), units)</f>
        <v/>
      </c>
      <c r="J169">
        <f>IF(L169="Level 1", VLOOKUP(I169, UserCodes!E:F, 2, FALSE) * H169, IF(L169="Level 2", VLOOKUP(I169, UserCodes!E:F, 2, FALSE) * H169 * 0.8, 0))</f>
        <v/>
      </c>
      <c r="K169" t="inlineStr">
        <is>
          <t>Noor, Kamilo</t>
        </is>
      </c>
      <c r="L169">
        <f>VLOOKUP(K169, UserCodes!A:B, 2, FALSE)</f>
        <v/>
      </c>
    </row>
    <row r="170">
      <c r="A170" t="inlineStr">
        <is>
          <t>Jama, Khadija</t>
        </is>
      </c>
      <c r="B170" s="3" t="n">
        <v>46014</v>
      </c>
      <c r="C170" t="inlineStr">
        <is>
          <t>09:00 AM - 01:00 PM</t>
        </is>
      </c>
      <c r="D170" t="inlineStr">
        <is>
          <t>04:00</t>
        </is>
      </c>
      <c r="E170">
        <f>HOUR(D170)+MINUTE(D170)/100</f>
        <v/>
      </c>
      <c r="F170">
        <f>ROUND(INT(E170) + (E170 - INT(E170)) * 100 / 60, 2)</f>
        <v/>
      </c>
      <c r="G170">
        <f>E170*4</f>
        <v/>
      </c>
      <c r="H170">
        <f>LET(total, INT(E170)*60 + (E170-INT(E170))*100, blocks, QUOTIENT(total, 15), extra, MOD(total, 15), units, blocks + IF(extra&gt;=8, 1, 0), units)</f>
        <v/>
      </c>
      <c r="J170">
        <f>IF(L170="Level 1", VLOOKUP(I170, UserCodes!E:F, 2, FALSE) * H170, IF(L170="Level 2", VLOOKUP(I170, UserCodes!E:F, 2, FALSE) * H170 * 0.8, 0))</f>
        <v/>
      </c>
      <c r="K170" t="inlineStr">
        <is>
          <t>Barqab, Mushtaq</t>
        </is>
      </c>
      <c r="L170">
        <f>VLOOKUP(K170, UserCodes!A:B, 2, FALSE)</f>
        <v/>
      </c>
    </row>
    <row r="171">
      <c r="A171" t="inlineStr">
        <is>
          <t>Jama, Khadija</t>
        </is>
      </c>
      <c r="B171" s="3" t="n">
        <v>46013</v>
      </c>
      <c r="C171" t="inlineStr">
        <is>
          <t>04:30 PM - 06:10 PM</t>
        </is>
      </c>
      <c r="D171" t="inlineStr">
        <is>
          <t>01:40</t>
        </is>
      </c>
      <c r="E171">
        <f>HOUR(D171)+MINUTE(D171)/100</f>
        <v/>
      </c>
      <c r="F171">
        <f>ROUND(INT(E171) + (E171 - INT(E171)) * 100 / 60, 2)</f>
        <v/>
      </c>
      <c r="G171">
        <f>E171*4</f>
        <v/>
      </c>
      <c r="H171">
        <f>LET(total, INT(E171)*60 + (E171-INT(E171))*100, blocks, QUOTIENT(total, 15), extra, MOD(total, 15), units, blocks + IF(extra&gt;=8, 1, 0), units)</f>
        <v/>
      </c>
      <c r="J171">
        <f>IF(L171="Level 1", VLOOKUP(I171, UserCodes!E:F, 2, FALSE) * H171, IF(L171="Level 2", VLOOKUP(I171, UserCodes!E:F, 2, FALSE) * H171 * 0.8, 0))</f>
        <v/>
      </c>
      <c r="K171" t="inlineStr">
        <is>
          <t>Noor, Kamilo</t>
        </is>
      </c>
      <c r="L171">
        <f>VLOOKUP(K171, UserCodes!A:B, 2, FALSE)</f>
        <v/>
      </c>
    </row>
    <row r="172">
      <c r="A172" t="inlineStr">
        <is>
          <t>Jama, Khadija</t>
        </is>
      </c>
      <c r="B172" s="3" t="n">
        <v>46013</v>
      </c>
      <c r="C172" t="inlineStr">
        <is>
          <t>10:00 AM - 04:00 PM</t>
        </is>
      </c>
      <c r="D172" t="inlineStr">
        <is>
          <t>06:00</t>
        </is>
      </c>
      <c r="E172">
        <f>HOUR(D172)+MINUTE(D172)/100</f>
        <v/>
      </c>
      <c r="F172">
        <f>ROUND(INT(E172) + (E172 - INT(E172)) * 100 / 60, 2)</f>
        <v/>
      </c>
      <c r="G172">
        <f>E172*4</f>
        <v/>
      </c>
      <c r="H172">
        <f>LET(total, INT(E172)*60 + (E172-INT(E172))*100, blocks, QUOTIENT(total, 15), extra, MOD(total, 15), units, blocks + IF(extra&gt;=8, 1, 0), units)</f>
        <v/>
      </c>
      <c r="J172">
        <f>IF(L172="Level 1", VLOOKUP(I172, UserCodes!E:F, 2, FALSE) * H172, IF(L172="Level 2", VLOOKUP(I172, UserCodes!E:F, 2, FALSE) * H172 * 0.8, 0))</f>
        <v/>
      </c>
      <c r="K172" t="inlineStr">
        <is>
          <t>Noor, Kamilo</t>
        </is>
      </c>
      <c r="L172">
        <f>VLOOKUP(K172, UserCodes!A:B, 2, FALSE)</f>
        <v/>
      </c>
    </row>
    <row r="173">
      <c r="A173" t="inlineStr">
        <is>
          <t>Jama, Khadija</t>
        </is>
      </c>
      <c r="B173" s="3" t="n">
        <v>46011</v>
      </c>
      <c r="C173" t="inlineStr">
        <is>
          <t>03:00 PM - 06:00 PM</t>
        </is>
      </c>
      <c r="D173" t="inlineStr">
        <is>
          <t>03:00</t>
        </is>
      </c>
      <c r="E173">
        <f>HOUR(D173)+MINUTE(D173)/100</f>
        <v/>
      </c>
      <c r="F173">
        <f>ROUND(INT(E173) + (E173 - INT(E173)) * 100 / 60, 2)</f>
        <v/>
      </c>
      <c r="G173">
        <f>E173*4</f>
        <v/>
      </c>
      <c r="H173">
        <f>LET(total, INT(E173)*60 + (E173-INT(E173))*100, blocks, QUOTIENT(total, 15), extra, MOD(total, 15), units, blocks + IF(extra&gt;=8, 1, 0), units)</f>
        <v/>
      </c>
      <c r="J173">
        <f>IF(L173="Level 1", VLOOKUP(I173, UserCodes!E:F, 2, FALSE) * H173, IF(L173="Level 2", VLOOKUP(I173, UserCodes!E:F, 2, FALSE) * H173 * 0.8, 0))</f>
        <v/>
      </c>
      <c r="K173" t="inlineStr">
        <is>
          <t>Muse, Adna</t>
        </is>
      </c>
      <c r="L173">
        <f>VLOOKUP(K173, UserCodes!A:B, 2, FALSE)</f>
        <v/>
      </c>
    </row>
    <row r="174">
      <c r="A174" t="inlineStr">
        <is>
          <t>Jama, Khadija</t>
        </is>
      </c>
      <c r="B174" s="3" t="n">
        <v>46011</v>
      </c>
      <c r="C174" t="inlineStr">
        <is>
          <t>10:30 AM - 06:00 PM</t>
        </is>
      </c>
      <c r="D174" t="inlineStr">
        <is>
          <t>07:30</t>
        </is>
      </c>
      <c r="E174">
        <f>HOUR(D174)+MINUTE(D174)/100</f>
        <v/>
      </c>
      <c r="F174">
        <f>ROUND(INT(E174) + (E174 - INT(E174)) * 100 / 60, 2)</f>
        <v/>
      </c>
      <c r="G174">
        <f>E174*4</f>
        <v/>
      </c>
      <c r="H174">
        <f>LET(total, INT(E174)*60 + (E174-INT(E174))*100, blocks, QUOTIENT(total, 15), extra, MOD(total, 15), units, blocks + IF(extra&gt;=8, 1, 0), units)</f>
        <v/>
      </c>
      <c r="J174">
        <f>IF(L174="Level 1", VLOOKUP(I174, UserCodes!E:F, 2, FALSE) * H174, IF(L174="Level 2", VLOOKUP(I174, UserCodes!E:F, 2, FALSE) * H174 * 0.8, 0))</f>
        <v/>
      </c>
      <c r="K174" t="inlineStr">
        <is>
          <t>Ran, Sameya</t>
        </is>
      </c>
      <c r="L174">
        <f>VLOOKUP(K174, UserCodes!A:B, 2, FALSE)</f>
        <v/>
      </c>
    </row>
    <row r="175">
      <c r="A175" t="inlineStr">
        <is>
          <t>Jama, Khadija</t>
        </is>
      </c>
      <c r="B175" s="3" t="n">
        <v>46010</v>
      </c>
      <c r="C175" t="inlineStr">
        <is>
          <t>03:30 PM - 08:00 PM</t>
        </is>
      </c>
      <c r="D175" t="inlineStr">
        <is>
          <t>04:30</t>
        </is>
      </c>
      <c r="E175">
        <f>HOUR(D175)+MINUTE(D175)/100</f>
        <v/>
      </c>
      <c r="F175">
        <f>ROUND(INT(E175) + (E175 - INT(E175)) * 100 / 60, 2)</f>
        <v/>
      </c>
      <c r="G175">
        <f>E175*4</f>
        <v/>
      </c>
      <c r="H175">
        <f>LET(total, INT(E175)*60 + (E175-INT(E175))*100, blocks, QUOTIENT(total, 15), extra, MOD(total, 15), units, blocks + IF(extra&gt;=8, 1, 0), units)</f>
        <v/>
      </c>
      <c r="J175">
        <f>IF(L175="Level 1", VLOOKUP(I175, UserCodes!E:F, 2, FALSE) * H175, IF(L175="Level 2", VLOOKUP(I175, UserCodes!E:F, 2, FALSE) * H175 * 0.8, 0))</f>
        <v/>
      </c>
      <c r="K175" t="inlineStr">
        <is>
          <t>Hashi, Ridwan</t>
        </is>
      </c>
      <c r="L175">
        <f>VLOOKUP(K175, UserCodes!A:B, 2, FALSE)</f>
        <v/>
      </c>
    </row>
    <row r="176">
      <c r="A176" t="inlineStr">
        <is>
          <t>Jama, Khadija</t>
        </is>
      </c>
      <c r="B176" s="3" t="n">
        <v>46010</v>
      </c>
      <c r="C176" t="inlineStr">
        <is>
          <t>09:25 AM - 11:40 AM</t>
        </is>
      </c>
      <c r="D176" t="inlineStr">
        <is>
          <t>02:15</t>
        </is>
      </c>
      <c r="E176">
        <f>HOUR(D176)+MINUTE(D176)/100</f>
        <v/>
      </c>
      <c r="F176">
        <f>ROUND(INT(E176) + (E176 - INT(E176)) * 100 / 60, 2)</f>
        <v/>
      </c>
      <c r="G176">
        <f>E176*4</f>
        <v/>
      </c>
      <c r="H176">
        <f>LET(total, INT(E176)*60 + (E176-INT(E176))*100, blocks, QUOTIENT(total, 15), extra, MOD(total, 15), units, blocks + IF(extra&gt;=8, 1, 0), units)</f>
        <v/>
      </c>
      <c r="J176">
        <f>IF(L176="Level 1", VLOOKUP(I176, UserCodes!E:F, 2, FALSE) * H176, IF(L176="Level 2", VLOOKUP(I176, UserCodes!E:F, 2, FALSE) * H176 * 0.8, 0))</f>
        <v/>
      </c>
      <c r="K176" t="inlineStr">
        <is>
          <t>Ahmed, Jama</t>
        </is>
      </c>
      <c r="L176">
        <f>VLOOKUP(K176, UserCodes!A:B, 2, FALSE)</f>
        <v/>
      </c>
    </row>
    <row r="177">
      <c r="A177" t="inlineStr">
        <is>
          <t>Jama, Khadija</t>
        </is>
      </c>
      <c r="B177" s="3" t="n">
        <v>46009</v>
      </c>
      <c r="C177" t="inlineStr">
        <is>
          <t>06:00 PM - 07:45 PM</t>
        </is>
      </c>
      <c r="D177" t="inlineStr">
        <is>
          <t>01:45</t>
        </is>
      </c>
      <c r="E177">
        <f>HOUR(D177)+MINUTE(D177)/100</f>
        <v/>
      </c>
      <c r="F177">
        <f>ROUND(INT(E177) + (E177 - INT(E177)) * 100 / 60, 2)</f>
        <v/>
      </c>
      <c r="G177">
        <f>E177*4</f>
        <v/>
      </c>
      <c r="H177">
        <f>LET(total, INT(E177)*60 + (E177-INT(E177))*100, blocks, QUOTIENT(total, 15), extra, MOD(total, 15), units, blocks + IF(extra&gt;=8, 1, 0), units)</f>
        <v/>
      </c>
      <c r="J177">
        <f>IF(L177="Level 1", VLOOKUP(I177, UserCodes!E:F, 2, FALSE) * H177, IF(L177="Level 2", VLOOKUP(I177, UserCodes!E:F, 2, FALSE) * H177 * 0.8, 0))</f>
        <v/>
      </c>
      <c r="K177" t="inlineStr">
        <is>
          <t>Noor, Kamilo</t>
        </is>
      </c>
      <c r="L177">
        <f>VLOOKUP(K177, UserCodes!A:B, 2, FALSE)</f>
        <v/>
      </c>
    </row>
    <row r="178">
      <c r="A178" t="inlineStr">
        <is>
          <t>Jama, Khadija</t>
        </is>
      </c>
      <c r="B178" s="3" t="n">
        <v>46009</v>
      </c>
      <c r="C178" t="inlineStr">
        <is>
          <t>03:30 PM - 07:45 PM</t>
        </is>
      </c>
      <c r="D178" t="inlineStr">
        <is>
          <t>04:15</t>
        </is>
      </c>
      <c r="E178">
        <f>HOUR(D178)+MINUTE(D178)/100</f>
        <v/>
      </c>
      <c r="F178">
        <f>ROUND(INT(E178) + (E178 - INT(E178)) * 100 / 60, 2)</f>
        <v/>
      </c>
      <c r="G178">
        <f>E178*4</f>
        <v/>
      </c>
      <c r="H178">
        <f>LET(total, INT(E178)*60 + (E178-INT(E178))*100, blocks, QUOTIENT(total, 15), extra, MOD(total, 15), units, blocks + IF(extra&gt;=8, 1, 0), units)</f>
        <v/>
      </c>
      <c r="J178">
        <f>IF(L178="Level 1", VLOOKUP(I178, UserCodes!E:F, 2, FALSE) * H178, IF(L178="Level 2", VLOOKUP(I178, UserCodes!E:F, 2, FALSE) * H178 * 0.8, 0))</f>
        <v/>
      </c>
      <c r="K178" t="inlineStr">
        <is>
          <t>ALI, AMIRA</t>
        </is>
      </c>
      <c r="L178">
        <f>VLOOKUP(K178, UserCodes!A:B, 2, FALSE)</f>
        <v/>
      </c>
    </row>
    <row r="179">
      <c r="A179" t="inlineStr">
        <is>
          <t>Jama, Khadija</t>
        </is>
      </c>
      <c r="B179" s="3" t="n">
        <v>46006</v>
      </c>
      <c r="C179" t="inlineStr">
        <is>
          <t>03:45 PM - 06:00 PM</t>
        </is>
      </c>
      <c r="D179" t="inlineStr">
        <is>
          <t>02:15</t>
        </is>
      </c>
      <c r="E179">
        <f>HOUR(D179)+MINUTE(D179)/100</f>
        <v/>
      </c>
      <c r="F179">
        <f>ROUND(INT(E179) + (E179 - INT(E179)) * 100 / 60, 2)</f>
        <v/>
      </c>
      <c r="G179">
        <f>E179*4</f>
        <v/>
      </c>
      <c r="H179">
        <f>LET(total, INT(E179)*60 + (E179-INT(E179))*100, blocks, QUOTIENT(total, 15), extra, MOD(total, 15), units, blocks + IF(extra&gt;=8, 1, 0), units)</f>
        <v/>
      </c>
      <c r="J179">
        <f>IF(L179="Level 1", VLOOKUP(I179, UserCodes!E:F, 2, FALSE) * H179, IF(L179="Level 2", VLOOKUP(I179, UserCodes!E:F, 2, FALSE) * H179 * 0.8, 0))</f>
        <v/>
      </c>
      <c r="K179" t="inlineStr">
        <is>
          <t>Barqab, Mushtaq</t>
        </is>
      </c>
      <c r="L179">
        <f>VLOOKUP(K179, UserCodes!A:B, 2, FALSE)</f>
        <v/>
      </c>
    </row>
    <row r="180">
      <c r="A180" t="inlineStr">
        <is>
          <t>Jama, Khadija</t>
        </is>
      </c>
      <c r="B180" s="3" t="n">
        <v>46004</v>
      </c>
      <c r="C180" t="inlineStr">
        <is>
          <t>03:00 PM - 06:00 PM</t>
        </is>
      </c>
      <c r="D180" t="inlineStr">
        <is>
          <t>03:00</t>
        </is>
      </c>
      <c r="E180">
        <f>HOUR(D180)+MINUTE(D180)/100</f>
        <v/>
      </c>
      <c r="F180">
        <f>ROUND(INT(E180) + (E180 - INT(E180)) * 100 / 60, 2)</f>
        <v/>
      </c>
      <c r="G180">
        <f>E180*4</f>
        <v/>
      </c>
      <c r="H180">
        <f>LET(total, INT(E180)*60 + (E180-INT(E180))*100, blocks, QUOTIENT(total, 15), extra, MOD(total, 15), units, blocks + IF(extra&gt;=8, 1, 0), units)</f>
        <v/>
      </c>
      <c r="J180">
        <f>IF(L180="Level 1", VLOOKUP(I180, UserCodes!E:F, 2, FALSE) * H180, IF(L180="Level 2", VLOOKUP(I180, UserCodes!E:F, 2, FALSE) * H180 * 0.8, 0))</f>
        <v/>
      </c>
      <c r="K180" t="inlineStr">
        <is>
          <t>Muse, Aaliya</t>
        </is>
      </c>
      <c r="L180">
        <f>VLOOKUP(K180, UserCodes!A:B, 2, FALSE)</f>
        <v/>
      </c>
    </row>
    <row r="181">
      <c r="A181" t="inlineStr">
        <is>
          <t>Jama, Khadija</t>
        </is>
      </c>
      <c r="B181" s="3" t="n">
        <v>46004</v>
      </c>
      <c r="C181" t="inlineStr">
        <is>
          <t>12:00 PM - 03:00 PM</t>
        </is>
      </c>
      <c r="D181" t="inlineStr">
        <is>
          <t>03:00</t>
        </is>
      </c>
      <c r="E181">
        <f>HOUR(D181)+MINUTE(D181)/100</f>
        <v/>
      </c>
      <c r="F181">
        <f>ROUND(INT(E181) + (E181 - INT(E181)) * 100 / 60, 2)</f>
        <v/>
      </c>
      <c r="G181">
        <f>E181*4</f>
        <v/>
      </c>
      <c r="H181">
        <f>LET(total, INT(E181)*60 + (E181-INT(E181))*100, blocks, QUOTIENT(total, 15), extra, MOD(total, 15), units, blocks + IF(extra&gt;=8, 1, 0), units)</f>
        <v/>
      </c>
      <c r="J181">
        <f>IF(L181="Level 1", VLOOKUP(I181, UserCodes!E:F, 2, FALSE) * H181, IF(L181="Level 2", VLOOKUP(I181, UserCodes!E:F, 2, FALSE) * H181 * 0.8, 0))</f>
        <v/>
      </c>
      <c r="K181" t="inlineStr">
        <is>
          <t>Muse, Ayni</t>
        </is>
      </c>
      <c r="L181">
        <f>VLOOKUP(K181, UserCodes!A:B, 2, FALSE)</f>
        <v/>
      </c>
    </row>
    <row r="182">
      <c r="A182" t="inlineStr">
        <is>
          <t>Jama, Khadija</t>
        </is>
      </c>
      <c r="B182" s="3" t="n">
        <v>46003</v>
      </c>
      <c r="C182" t="inlineStr">
        <is>
          <t>03:30 PM - 08:00 PM</t>
        </is>
      </c>
      <c r="D182" t="inlineStr">
        <is>
          <t>04:30</t>
        </is>
      </c>
      <c r="E182">
        <f>HOUR(D182)+MINUTE(D182)/100</f>
        <v/>
      </c>
      <c r="F182">
        <f>ROUND(INT(E182) + (E182 - INT(E182)) * 100 / 60, 2)</f>
        <v/>
      </c>
      <c r="G182">
        <f>E182*4</f>
        <v/>
      </c>
      <c r="H182">
        <f>LET(total, INT(E182)*60 + (E182-INT(E182))*100, blocks, QUOTIENT(total, 15), extra, MOD(total, 15), units, blocks + IF(extra&gt;=8, 1, 0), units)</f>
        <v/>
      </c>
      <c r="J182">
        <f>IF(L182="Level 1", VLOOKUP(I182, UserCodes!E:F, 2, FALSE) * H182, IF(L182="Level 2", VLOOKUP(I182, UserCodes!E:F, 2, FALSE) * H182 * 0.8, 0))</f>
        <v/>
      </c>
      <c r="K182" t="inlineStr">
        <is>
          <t>Barqab, Mushtaq</t>
        </is>
      </c>
      <c r="L182">
        <f>VLOOKUP(K182, UserCodes!A:B, 2, FALSE)</f>
        <v/>
      </c>
    </row>
    <row r="183">
      <c r="A183" t="inlineStr">
        <is>
          <t>Jama, Khadija</t>
        </is>
      </c>
      <c r="B183" s="3" t="n">
        <v>46002</v>
      </c>
      <c r="C183" t="inlineStr">
        <is>
          <t>04:30 PM - 08:00 PM</t>
        </is>
      </c>
      <c r="D183" t="inlineStr">
        <is>
          <t>03:30</t>
        </is>
      </c>
      <c r="E183">
        <f>HOUR(D183)+MINUTE(D183)/100</f>
        <v/>
      </c>
      <c r="F183">
        <f>ROUND(INT(E183) + (E183 - INT(E183)) * 100 / 60, 2)</f>
        <v/>
      </c>
      <c r="G183">
        <f>E183*4</f>
        <v/>
      </c>
      <c r="H183">
        <f>LET(total, INT(E183)*60 + (E183-INT(E183))*100, blocks, QUOTIENT(total, 15), extra, MOD(total, 15), units, blocks + IF(extra&gt;=8, 1, 0), units)</f>
        <v/>
      </c>
      <c r="J183">
        <f>IF(L183="Level 1", VLOOKUP(I183, UserCodes!E:F, 2, FALSE) * H183, IF(L183="Level 2", VLOOKUP(I183, UserCodes!E:F, 2, FALSE) * H183 * 0.8, 0))</f>
        <v/>
      </c>
      <c r="K183" t="inlineStr">
        <is>
          <t>Noor, Kamilo</t>
        </is>
      </c>
      <c r="L183">
        <f>VLOOKUP(K183, UserCodes!A:B, 2, FALSE)</f>
        <v/>
      </c>
    </row>
    <row r="184">
      <c r="A184" t="inlineStr">
        <is>
          <t>Kadir, Hamdi</t>
        </is>
      </c>
      <c r="B184" s="3" t="n">
        <v>46014</v>
      </c>
      <c r="C184" t="inlineStr">
        <is>
          <t>12:00 PM - 12:30 PM</t>
        </is>
      </c>
      <c r="D184" t="inlineStr">
        <is>
          <t>00:30</t>
        </is>
      </c>
      <c r="E184">
        <f>HOUR(D184)+MINUTE(D184)/100</f>
        <v/>
      </c>
      <c r="F184">
        <f>ROUND(INT(E184) + (E184 - INT(E184)) * 100 / 60, 2)</f>
        <v/>
      </c>
      <c r="G184">
        <f>E184*4</f>
        <v/>
      </c>
      <c r="H184">
        <f>LET(total, INT(E184)*60 + (E184-INT(E184))*100, blocks, QUOTIENT(total, 15), extra, MOD(total, 15), units, blocks + IF(extra&gt;=8, 1, 0), units)</f>
        <v/>
      </c>
      <c r="J184">
        <f>IF(L184="Level 1", VLOOKUP(I184, UserCodes!E:F, 2, FALSE) * H184, IF(L184="Level 2", VLOOKUP(I184, UserCodes!E:F, 2, FALSE) * H184 * 0.8, 0))</f>
        <v/>
      </c>
      <c r="K184" t="inlineStr">
        <is>
          <t>Muse, Aaliya</t>
        </is>
      </c>
      <c r="L184">
        <f>VLOOKUP(K184, UserCodes!A:B, 2, FALSE)</f>
        <v/>
      </c>
    </row>
    <row r="185">
      <c r="A185" t="inlineStr">
        <is>
          <t>Kadir, Hamdi</t>
        </is>
      </c>
      <c r="B185" s="3" t="n">
        <v>46014</v>
      </c>
      <c r="C185" t="inlineStr">
        <is>
          <t>09:00 AM - 12:00 PM</t>
        </is>
      </c>
      <c r="D185" t="inlineStr">
        <is>
          <t>03:00</t>
        </is>
      </c>
      <c r="E185">
        <f>HOUR(D185)+MINUTE(D185)/100</f>
        <v/>
      </c>
      <c r="F185">
        <f>ROUND(INT(E185) + (E185 - INT(E185)) * 100 / 60, 2)</f>
        <v/>
      </c>
      <c r="G185">
        <f>E185*4</f>
        <v/>
      </c>
      <c r="H185">
        <f>LET(total, INT(E185)*60 + (E185-INT(E185))*100, blocks, QUOTIENT(total, 15), extra, MOD(total, 15), units, blocks + IF(extra&gt;=8, 1, 0), units)</f>
        <v/>
      </c>
      <c r="J185">
        <f>IF(L185="Level 1", VLOOKUP(I185, UserCodes!E:F, 2, FALSE) * H185, IF(L185="Level 2", VLOOKUP(I185, UserCodes!E:F, 2, FALSE) * H185 * 0.8, 0))</f>
        <v/>
      </c>
      <c r="K185" t="inlineStr">
        <is>
          <t>Muse, Aaliya</t>
        </is>
      </c>
      <c r="L185">
        <f>VLOOKUP(K185, UserCodes!A:B, 2, FALSE)</f>
        <v/>
      </c>
    </row>
    <row r="186">
      <c r="A186" t="inlineStr">
        <is>
          <t>Kadir, Hamdi</t>
        </is>
      </c>
      <c r="B186" s="3" t="n">
        <v>46013</v>
      </c>
      <c r="C186" t="inlineStr">
        <is>
          <t>05:30 PM - 08:00 PM</t>
        </is>
      </c>
      <c r="D186" t="inlineStr">
        <is>
          <t>02:30</t>
        </is>
      </c>
      <c r="E186">
        <f>HOUR(D186)+MINUTE(D186)/100</f>
        <v/>
      </c>
      <c r="F186">
        <f>ROUND(INT(E186) + (E186 - INT(E186)) * 100 / 60, 2)</f>
        <v/>
      </c>
      <c r="G186">
        <f>E186*4</f>
        <v/>
      </c>
      <c r="H186">
        <f>LET(total, INT(E186)*60 + (E186-INT(E186))*100, blocks, QUOTIENT(total, 15), extra, MOD(total, 15), units, blocks + IF(extra&gt;=8, 1, 0), units)</f>
        <v/>
      </c>
      <c r="J186">
        <f>IF(L186="Level 1", VLOOKUP(I186, UserCodes!E:F, 2, FALSE) * H186, IF(L186="Level 2", VLOOKUP(I186, UserCodes!E:F, 2, FALSE) * H186 * 0.8, 0))</f>
        <v/>
      </c>
      <c r="K186" t="inlineStr">
        <is>
          <t>Ran, Sameya</t>
        </is>
      </c>
      <c r="L186">
        <f>VLOOKUP(K186, UserCodes!A:B, 2, FALSE)</f>
        <v/>
      </c>
    </row>
    <row r="187">
      <c r="A187" t="inlineStr">
        <is>
          <t>Kadir, Hamdi</t>
        </is>
      </c>
      <c r="B187" s="3" t="n">
        <v>46013</v>
      </c>
      <c r="C187" t="inlineStr">
        <is>
          <t>12:00 PM - 03:00 PM</t>
        </is>
      </c>
      <c r="D187" t="inlineStr">
        <is>
          <t>03:00</t>
        </is>
      </c>
      <c r="E187">
        <f>HOUR(D187)+MINUTE(D187)/100</f>
        <v/>
      </c>
      <c r="F187">
        <f>ROUND(INT(E187) + (E187 - INT(E187)) * 100 / 60, 2)</f>
        <v/>
      </c>
      <c r="G187">
        <f>E187*4</f>
        <v/>
      </c>
      <c r="H187">
        <f>LET(total, INT(E187)*60 + (E187-INT(E187))*100, blocks, QUOTIENT(total, 15), extra, MOD(total, 15), units, blocks + IF(extra&gt;=8, 1, 0), units)</f>
        <v/>
      </c>
      <c r="J187">
        <f>IF(L187="Level 1", VLOOKUP(I187, UserCodes!E:F, 2, FALSE) * H187, IF(L187="Level 2", VLOOKUP(I187, UserCodes!E:F, 2, FALSE) * H187 * 0.8, 0))</f>
        <v/>
      </c>
      <c r="K187" t="inlineStr">
        <is>
          <t>Muse, Aaliya</t>
        </is>
      </c>
      <c r="L187">
        <f>VLOOKUP(K187, UserCodes!A:B, 2, FALSE)</f>
        <v/>
      </c>
    </row>
    <row r="188">
      <c r="A188" t="inlineStr">
        <is>
          <t>Kadir, Hamdi</t>
        </is>
      </c>
      <c r="B188" s="3" t="n">
        <v>46013</v>
      </c>
      <c r="C188" t="inlineStr">
        <is>
          <t>12:00 PM - 05:30 PM</t>
        </is>
      </c>
      <c r="D188" t="inlineStr">
        <is>
          <t>05:30</t>
        </is>
      </c>
      <c r="E188">
        <f>HOUR(D188)+MINUTE(D188)/100</f>
        <v/>
      </c>
      <c r="F188">
        <f>ROUND(INT(E188) + (E188 - INT(E188)) * 100 / 60, 2)</f>
        <v/>
      </c>
      <c r="G188">
        <f>E188*4</f>
        <v/>
      </c>
      <c r="H188">
        <f>LET(total, INT(E188)*60 + (E188-INT(E188))*100, blocks, QUOTIENT(total, 15), extra, MOD(total, 15), units, blocks + IF(extra&gt;=8, 1, 0), units)</f>
        <v/>
      </c>
      <c r="J188">
        <f>IF(L188="Level 1", VLOOKUP(I188, UserCodes!E:F, 2, FALSE) * H188, IF(L188="Level 2", VLOOKUP(I188, UserCodes!E:F, 2, FALSE) * H188 * 0.8, 0))</f>
        <v/>
      </c>
      <c r="K188" t="inlineStr">
        <is>
          <t>Mohamed, Samsam</t>
        </is>
      </c>
      <c r="L188">
        <f>VLOOKUP(K188, UserCodes!A:B, 2, FALSE)</f>
        <v/>
      </c>
    </row>
    <row r="189">
      <c r="A189" t="inlineStr">
        <is>
          <t>Kadir, Hamdi</t>
        </is>
      </c>
      <c r="B189" s="3" t="n">
        <v>46011</v>
      </c>
      <c r="C189" t="inlineStr">
        <is>
          <t>01:00 PM - 04:00 PM</t>
        </is>
      </c>
      <c r="D189" t="inlineStr">
        <is>
          <t>03:00</t>
        </is>
      </c>
      <c r="E189">
        <f>HOUR(D189)+MINUTE(D189)/100</f>
        <v/>
      </c>
      <c r="F189">
        <f>ROUND(INT(E189) + (E189 - INT(E189)) * 100 / 60, 2)</f>
        <v/>
      </c>
      <c r="G189">
        <f>E189*4</f>
        <v/>
      </c>
      <c r="H189">
        <f>LET(total, INT(E189)*60 + (E189-INT(E189))*100, blocks, QUOTIENT(total, 15), extra, MOD(total, 15), units, blocks + IF(extra&gt;=8, 1, 0), units)</f>
        <v/>
      </c>
      <c r="J189">
        <f>IF(L189="Level 1", VLOOKUP(I189, UserCodes!E:F, 2, FALSE) * H189, IF(L189="Level 2", VLOOKUP(I189, UserCodes!E:F, 2, FALSE) * H189 * 0.8, 0))</f>
        <v/>
      </c>
      <c r="K189" t="inlineStr">
        <is>
          <t>Ibrahim, Ahmed</t>
        </is>
      </c>
      <c r="L189">
        <f>VLOOKUP(K189, UserCodes!A:B, 2, FALSE)</f>
        <v/>
      </c>
    </row>
    <row r="190">
      <c r="A190" t="inlineStr">
        <is>
          <t>Kadir, Hamdi</t>
        </is>
      </c>
      <c r="B190" s="3" t="n">
        <v>46011</v>
      </c>
      <c r="C190" t="inlineStr">
        <is>
          <t>12:30 PM - 06:00 PM</t>
        </is>
      </c>
      <c r="D190" t="inlineStr">
        <is>
          <t>05:30</t>
        </is>
      </c>
      <c r="E190">
        <f>HOUR(D190)+MINUTE(D190)/100</f>
        <v/>
      </c>
      <c r="F190">
        <f>ROUND(INT(E190) + (E190 - INT(E190)) * 100 / 60, 2)</f>
        <v/>
      </c>
      <c r="G190">
        <f>E190*4</f>
        <v/>
      </c>
      <c r="H190">
        <f>LET(total, INT(E190)*60 + (E190-INT(E190))*100, blocks, QUOTIENT(total, 15), extra, MOD(total, 15), units, blocks + IF(extra&gt;=8, 1, 0), units)</f>
        <v/>
      </c>
      <c r="J190">
        <f>IF(L190="Level 1", VLOOKUP(I190, UserCodes!E:F, 2, FALSE) * H190, IF(L190="Level 2", VLOOKUP(I190, UserCodes!E:F, 2, FALSE) * H190 * 0.8, 0))</f>
        <v/>
      </c>
      <c r="K190" t="inlineStr">
        <is>
          <t>Hashi, Ridwan</t>
        </is>
      </c>
      <c r="L190">
        <f>VLOOKUP(K190, UserCodes!A:B, 2, FALSE)</f>
        <v/>
      </c>
    </row>
    <row r="191">
      <c r="A191" t="inlineStr">
        <is>
          <t>Kadir, Hamdi</t>
        </is>
      </c>
      <c r="B191" s="3" t="n">
        <v>46011</v>
      </c>
      <c r="C191" t="inlineStr">
        <is>
          <t>10:00 AM - 12:00 PM</t>
        </is>
      </c>
      <c r="D191" t="inlineStr">
        <is>
          <t>02:00</t>
        </is>
      </c>
      <c r="E191">
        <f>HOUR(D191)+MINUTE(D191)/100</f>
        <v/>
      </c>
      <c r="F191">
        <f>ROUND(INT(E191) + (E191 - INT(E191)) * 100 / 60, 2)</f>
        <v/>
      </c>
      <c r="G191">
        <f>E191*4</f>
        <v/>
      </c>
      <c r="H191">
        <f>LET(total, INT(E191)*60 + (E191-INT(E191))*100, blocks, QUOTIENT(total, 15), extra, MOD(total, 15), units, blocks + IF(extra&gt;=8, 1, 0), units)</f>
        <v/>
      </c>
      <c r="J191">
        <f>IF(L191="Level 1", VLOOKUP(I191, UserCodes!E:F, 2, FALSE) * H191, IF(L191="Level 2", VLOOKUP(I191, UserCodes!E:F, 2, FALSE) * H191 * 0.8, 0))</f>
        <v/>
      </c>
      <c r="K191" t="inlineStr">
        <is>
          <t>Hashi, Ridwan</t>
        </is>
      </c>
      <c r="L191">
        <f>VLOOKUP(K191, UserCodes!A:B, 2, FALSE)</f>
        <v/>
      </c>
    </row>
    <row r="192">
      <c r="A192" t="inlineStr">
        <is>
          <t>Kadir, Hamdi</t>
        </is>
      </c>
      <c r="B192" s="3" t="n">
        <v>46010</v>
      </c>
      <c r="C192" t="inlineStr">
        <is>
          <t>04:00 PM - 08:00 PM</t>
        </is>
      </c>
      <c r="D192" t="inlineStr">
        <is>
          <t>04:00</t>
        </is>
      </c>
      <c r="E192">
        <f>HOUR(D192)+MINUTE(D192)/100</f>
        <v/>
      </c>
      <c r="F192">
        <f>ROUND(INT(E192) + (E192 - INT(E192)) * 100 / 60, 2)</f>
        <v/>
      </c>
      <c r="G192">
        <f>E192*4</f>
        <v/>
      </c>
      <c r="H192">
        <f>LET(total, INT(E192)*60 + (E192-INT(E192))*100, blocks, QUOTIENT(total, 15), extra, MOD(total, 15), units, blocks + IF(extra&gt;=8, 1, 0), units)</f>
        <v/>
      </c>
      <c r="J192">
        <f>IF(L192="Level 1", VLOOKUP(I192, UserCodes!E:F, 2, FALSE) * H192, IF(L192="Level 2", VLOOKUP(I192, UserCodes!E:F, 2, FALSE) * H192 * 0.8, 0))</f>
        <v/>
      </c>
      <c r="K192" t="inlineStr">
        <is>
          <t>Barqab, Mushtaq</t>
        </is>
      </c>
      <c r="L192">
        <f>VLOOKUP(K192, UserCodes!A:B, 2, FALSE)</f>
        <v/>
      </c>
    </row>
    <row r="193">
      <c r="A193" t="inlineStr">
        <is>
          <t>Kadir, Hamdi</t>
        </is>
      </c>
      <c r="B193" s="3" t="n">
        <v>46010</v>
      </c>
      <c r="C193" t="inlineStr">
        <is>
          <t>12:59 PM - 03:00 PM</t>
        </is>
      </c>
      <c r="D193" t="inlineStr">
        <is>
          <t>02:01</t>
        </is>
      </c>
      <c r="E193">
        <f>HOUR(D193)+MINUTE(D193)/100</f>
        <v/>
      </c>
      <c r="F193">
        <f>ROUND(INT(E193) + (E193 - INT(E193)) * 100 / 60, 2)</f>
        <v/>
      </c>
      <c r="G193">
        <f>E193*4</f>
        <v/>
      </c>
      <c r="H193">
        <f>LET(total, INT(E193)*60 + (E193-INT(E193))*100, blocks, QUOTIENT(total, 15), extra, MOD(total, 15), units, blocks + IF(extra&gt;=8, 1, 0), units)</f>
        <v/>
      </c>
      <c r="J193">
        <f>IF(L193="Level 1", VLOOKUP(I193, UserCodes!E:F, 2, FALSE) * H193, IF(L193="Level 2", VLOOKUP(I193, UserCodes!E:F, 2, FALSE) * H193 * 0.8, 0))</f>
        <v/>
      </c>
      <c r="K193" t="inlineStr">
        <is>
          <t>Ahmed, Jama</t>
        </is>
      </c>
      <c r="L193">
        <f>VLOOKUP(K193, UserCodes!A:B, 2, FALSE)</f>
        <v/>
      </c>
    </row>
    <row r="194">
      <c r="A194" t="inlineStr">
        <is>
          <t>Kadir, Hamdi</t>
        </is>
      </c>
      <c r="B194" s="3" t="n">
        <v>46010</v>
      </c>
      <c r="C194" t="inlineStr">
        <is>
          <t>12:30 PM - 03:30 PM</t>
        </is>
      </c>
      <c r="D194" t="inlineStr">
        <is>
          <t>03:00</t>
        </is>
      </c>
      <c r="E194">
        <f>HOUR(D194)+MINUTE(D194)/100</f>
        <v/>
      </c>
      <c r="F194">
        <f>ROUND(INT(E194) + (E194 - INT(E194)) * 100 / 60, 2)</f>
        <v/>
      </c>
      <c r="G194">
        <f>E194*4</f>
        <v/>
      </c>
      <c r="H194">
        <f>LET(total, INT(E194)*60 + (E194-INT(E194))*100, blocks, QUOTIENT(total, 15), extra, MOD(total, 15), units, blocks + IF(extra&gt;=8, 1, 0), units)</f>
        <v/>
      </c>
      <c r="J194">
        <f>IF(L194="Level 1", VLOOKUP(I194, UserCodes!E:F, 2, FALSE) * H194, IF(L194="Level 2", VLOOKUP(I194, UserCodes!E:F, 2, FALSE) * H194 * 0.8, 0))</f>
        <v/>
      </c>
      <c r="K194" t="inlineStr">
        <is>
          <t>Muse, Aaliya</t>
        </is>
      </c>
      <c r="L194">
        <f>VLOOKUP(K194, UserCodes!A:B, 2, FALSE)</f>
        <v/>
      </c>
    </row>
    <row r="195">
      <c r="A195" t="inlineStr">
        <is>
          <t>Kadir, Hamdi</t>
        </is>
      </c>
      <c r="B195" s="3" t="n">
        <v>46010</v>
      </c>
      <c r="C195" t="inlineStr">
        <is>
          <t>12:00 PM - 03:30 PM</t>
        </is>
      </c>
      <c r="D195" t="inlineStr">
        <is>
          <t>03:30</t>
        </is>
      </c>
      <c r="E195">
        <f>HOUR(D195)+MINUTE(D195)/100</f>
        <v/>
      </c>
      <c r="F195">
        <f>ROUND(INT(E195) + (E195 - INT(E195)) * 100 / 60, 2)</f>
        <v/>
      </c>
      <c r="G195">
        <f>E195*4</f>
        <v/>
      </c>
      <c r="H195">
        <f>LET(total, INT(E195)*60 + (E195-INT(E195))*100, blocks, QUOTIENT(total, 15), extra, MOD(total, 15), units, blocks + IF(extra&gt;=8, 1, 0), units)</f>
        <v/>
      </c>
      <c r="J195">
        <f>IF(L195="Level 1", VLOOKUP(I195, UserCodes!E:F, 2, FALSE) * H195, IF(L195="Level 2", VLOOKUP(I195, UserCodes!E:F, 2, FALSE) * H195 * 0.8, 0))</f>
        <v/>
      </c>
      <c r="K195" t="inlineStr">
        <is>
          <t>Barqab, Mushtaq</t>
        </is>
      </c>
      <c r="L195">
        <f>VLOOKUP(K195, UserCodes!A:B, 2, FALSE)</f>
        <v/>
      </c>
    </row>
    <row r="196">
      <c r="A196" t="inlineStr">
        <is>
          <t>Kadir, Hamdi</t>
        </is>
      </c>
      <c r="B196" s="3" t="n">
        <v>46009</v>
      </c>
      <c r="C196" t="inlineStr">
        <is>
          <t>02:00 PM - 03:00 PM</t>
        </is>
      </c>
      <c r="D196" t="inlineStr">
        <is>
          <t>01:00</t>
        </is>
      </c>
      <c r="E196">
        <f>HOUR(D196)+MINUTE(D196)/100</f>
        <v/>
      </c>
      <c r="F196">
        <f>ROUND(INT(E196) + (E196 - INT(E196)) * 100 / 60, 2)</f>
        <v/>
      </c>
      <c r="G196">
        <f>E196*4</f>
        <v/>
      </c>
      <c r="H196">
        <f>LET(total, INT(E196)*60 + (E196-INT(E196))*100, blocks, QUOTIENT(total, 15), extra, MOD(total, 15), units, blocks + IF(extra&gt;=8, 1, 0), units)</f>
        <v/>
      </c>
      <c r="J196">
        <f>IF(L196="Level 1", VLOOKUP(I196, UserCodes!E:F, 2, FALSE) * H196, IF(L196="Level 2", VLOOKUP(I196, UserCodes!E:F, 2, FALSE) * H196 * 0.8, 0))</f>
        <v/>
      </c>
      <c r="K196" t="inlineStr">
        <is>
          <t>Osman, Basra</t>
        </is>
      </c>
      <c r="L196">
        <f>VLOOKUP(K196, UserCodes!A:B, 2, FALSE)</f>
        <v/>
      </c>
    </row>
    <row r="197">
      <c r="A197" t="inlineStr">
        <is>
          <t>Kadir, Hamdi</t>
        </is>
      </c>
      <c r="B197" s="3" t="n">
        <v>46009</v>
      </c>
      <c r="C197" t="inlineStr">
        <is>
          <t>02:00 PM - 08:00 PM</t>
        </is>
      </c>
      <c r="D197" t="inlineStr">
        <is>
          <t>06:00</t>
        </is>
      </c>
      <c r="E197">
        <f>HOUR(D197)+MINUTE(D197)/100</f>
        <v/>
      </c>
      <c r="F197">
        <f>ROUND(INT(E197) + (E197 - INT(E197)) * 100 / 60, 2)</f>
        <v/>
      </c>
      <c r="G197">
        <f>E197*4</f>
        <v/>
      </c>
      <c r="H197">
        <f>LET(total, INT(E197)*60 + (E197-INT(E197))*100, blocks, QUOTIENT(total, 15), extra, MOD(total, 15), units, blocks + IF(extra&gt;=8, 1, 0), units)</f>
        <v/>
      </c>
      <c r="J197">
        <f>IF(L197="Level 1", VLOOKUP(I197, UserCodes!E:F, 2, FALSE) * H197, IF(L197="Level 2", VLOOKUP(I197, UserCodes!E:F, 2, FALSE) * H197 * 0.8, 0))</f>
        <v/>
      </c>
      <c r="K197" t="inlineStr">
        <is>
          <t>Muse, Nawaal</t>
        </is>
      </c>
      <c r="L197">
        <f>VLOOKUP(K197, UserCodes!A:B, 2, FALSE)</f>
        <v/>
      </c>
    </row>
    <row r="198">
      <c r="A198" t="inlineStr">
        <is>
          <t>Kadir, Hamdi</t>
        </is>
      </c>
      <c r="B198" s="3" t="n">
        <v>46008</v>
      </c>
      <c r="C198" t="inlineStr">
        <is>
          <t>05:00 PM - 08:00 PM</t>
        </is>
      </c>
      <c r="D198" t="inlineStr">
        <is>
          <t>03:00</t>
        </is>
      </c>
      <c r="E198">
        <f>HOUR(D198)+MINUTE(D198)/100</f>
        <v/>
      </c>
      <c r="F198">
        <f>ROUND(INT(E198) + (E198 - INT(E198)) * 100 / 60, 2)</f>
        <v/>
      </c>
      <c r="G198">
        <f>E198*4</f>
        <v/>
      </c>
      <c r="H198">
        <f>LET(total, INT(E198)*60 + (E198-INT(E198))*100, blocks, QUOTIENT(total, 15), extra, MOD(total, 15), units, blocks + IF(extra&gt;=8, 1, 0), units)</f>
        <v/>
      </c>
      <c r="J198">
        <f>IF(L198="Level 1", VLOOKUP(I198, UserCodes!E:F, 2, FALSE) * H198, IF(L198="Level 2", VLOOKUP(I198, UserCodes!E:F, 2, FALSE) * H198 * 0.8, 0))</f>
        <v/>
      </c>
      <c r="K198" t="inlineStr">
        <is>
          <t>Muse, Nawaal</t>
        </is>
      </c>
      <c r="L198">
        <f>VLOOKUP(K198, UserCodes!A:B, 2, FALSE)</f>
        <v/>
      </c>
    </row>
    <row r="199">
      <c r="A199" t="inlineStr">
        <is>
          <t>Kadir, Hamdi</t>
        </is>
      </c>
      <c r="B199" s="3" t="n">
        <v>46008</v>
      </c>
      <c r="C199" t="inlineStr">
        <is>
          <t>02:00 PM - 05:00 PM</t>
        </is>
      </c>
      <c r="D199" t="inlineStr">
        <is>
          <t>03:00</t>
        </is>
      </c>
      <c r="E199">
        <f>HOUR(D199)+MINUTE(D199)/100</f>
        <v/>
      </c>
      <c r="F199">
        <f>ROUND(INT(E199) + (E199 - INT(E199)) * 100 / 60, 2)</f>
        <v/>
      </c>
      <c r="G199">
        <f>E199*4</f>
        <v/>
      </c>
      <c r="H199">
        <f>LET(total, INT(E199)*60 + (E199-INT(E199))*100, blocks, QUOTIENT(total, 15), extra, MOD(total, 15), units, blocks + IF(extra&gt;=8, 1, 0), units)</f>
        <v/>
      </c>
      <c r="J199">
        <f>IF(L199="Level 1", VLOOKUP(I199, UserCodes!E:F, 2, FALSE) * H199, IF(L199="Level 2", VLOOKUP(I199, UserCodes!E:F, 2, FALSE) * H199 * 0.8, 0))</f>
        <v/>
      </c>
      <c r="K199" t="inlineStr">
        <is>
          <t>Osman, Basra</t>
        </is>
      </c>
      <c r="L199">
        <f>VLOOKUP(K199, UserCodes!A:B, 2, FALSE)</f>
        <v/>
      </c>
    </row>
    <row r="200">
      <c r="A200" t="inlineStr">
        <is>
          <t>Kadir, Hamdi</t>
        </is>
      </c>
      <c r="B200" s="3" t="n">
        <v>46008</v>
      </c>
      <c r="C200" t="inlineStr">
        <is>
          <t>02:00 PM - 05:00 PM</t>
        </is>
      </c>
      <c r="D200" t="inlineStr">
        <is>
          <t>03:00</t>
        </is>
      </c>
      <c r="E200">
        <f>HOUR(D200)+MINUTE(D200)/100</f>
        <v/>
      </c>
      <c r="F200">
        <f>ROUND(INT(E200) + (E200 - INT(E200)) * 100 / 60, 2)</f>
        <v/>
      </c>
      <c r="G200">
        <f>E200*4</f>
        <v/>
      </c>
      <c r="H200">
        <f>LET(total, INT(E200)*60 + (E200-INT(E200))*100, blocks, QUOTIENT(total, 15), extra, MOD(total, 15), units, blocks + IF(extra&gt;=8, 1, 0), units)</f>
        <v/>
      </c>
      <c r="J200">
        <f>IF(L200="Level 1", VLOOKUP(I200, UserCodes!E:F, 2, FALSE) * H200, IF(L200="Level 2", VLOOKUP(I200, UserCodes!E:F, 2, FALSE) * H200 * 0.8, 0))</f>
        <v/>
      </c>
      <c r="K200" t="inlineStr">
        <is>
          <t>Muse, Ayni</t>
        </is>
      </c>
      <c r="L200">
        <f>VLOOKUP(K200, UserCodes!A:B, 2, FALSE)</f>
        <v/>
      </c>
    </row>
    <row r="201">
      <c r="A201" t="inlineStr">
        <is>
          <t>Kadir, Hamdi</t>
        </is>
      </c>
      <c r="B201" s="3" t="n">
        <v>46007</v>
      </c>
      <c r="C201" t="inlineStr">
        <is>
          <t>03:00 PM - 06:00 PM</t>
        </is>
      </c>
      <c r="D201" t="inlineStr">
        <is>
          <t>03:00</t>
        </is>
      </c>
      <c r="E201">
        <f>HOUR(D201)+MINUTE(D201)/100</f>
        <v/>
      </c>
      <c r="F201">
        <f>ROUND(INT(E201) + (E201 - INT(E201)) * 100 / 60, 2)</f>
        <v/>
      </c>
      <c r="G201">
        <f>E201*4</f>
        <v/>
      </c>
      <c r="H201">
        <f>LET(total, INT(E201)*60 + (E201-INT(E201))*100, blocks, QUOTIENT(total, 15), extra, MOD(total, 15), units, blocks + IF(extra&gt;=8, 1, 0), units)</f>
        <v/>
      </c>
      <c r="J201">
        <f>IF(L201="Level 1", VLOOKUP(I201, UserCodes!E:F, 2, FALSE) * H201, IF(L201="Level 2", VLOOKUP(I201, UserCodes!E:F, 2, FALSE) * H201 * 0.8, 0))</f>
        <v/>
      </c>
      <c r="K201" t="inlineStr">
        <is>
          <t>Muse, Adna</t>
        </is>
      </c>
      <c r="L201">
        <f>VLOOKUP(K201, UserCodes!A:B, 2, FALSE)</f>
        <v/>
      </c>
    </row>
    <row r="202">
      <c r="A202" t="inlineStr">
        <is>
          <t>Kadir, Hamdi</t>
        </is>
      </c>
      <c r="B202" s="3" t="n">
        <v>46007</v>
      </c>
      <c r="C202" t="inlineStr">
        <is>
          <t>02:00 PM - 08:00 PM</t>
        </is>
      </c>
      <c r="D202" t="inlineStr">
        <is>
          <t>06:00</t>
        </is>
      </c>
      <c r="E202">
        <f>HOUR(D202)+MINUTE(D202)/100</f>
        <v/>
      </c>
      <c r="F202">
        <f>ROUND(INT(E202) + (E202 - INT(E202)) * 100 / 60, 2)</f>
        <v/>
      </c>
      <c r="G202">
        <f>E202*4</f>
        <v/>
      </c>
      <c r="H202">
        <f>LET(total, INT(E202)*60 + (E202-INT(E202))*100, blocks, QUOTIENT(total, 15), extra, MOD(total, 15), units, blocks + IF(extra&gt;=8, 1, 0), units)</f>
        <v/>
      </c>
      <c r="J202">
        <f>IF(L202="Level 1", VLOOKUP(I202, UserCodes!E:F, 2, FALSE) * H202, IF(L202="Level 2", VLOOKUP(I202, UserCodes!E:F, 2, FALSE) * H202 * 0.8, 0))</f>
        <v/>
      </c>
      <c r="K202" t="inlineStr">
        <is>
          <t>Ran, Sameya</t>
        </is>
      </c>
      <c r="L202">
        <f>VLOOKUP(K202, UserCodes!A:B, 2, FALSE)</f>
        <v/>
      </c>
    </row>
    <row r="203">
      <c r="A203" t="inlineStr">
        <is>
          <t>Kadir, Hamdi</t>
        </is>
      </c>
      <c r="B203" s="3" t="n">
        <v>46006</v>
      </c>
      <c r="C203" t="inlineStr">
        <is>
          <t>02:00 PM - 08:00 PM</t>
        </is>
      </c>
      <c r="D203" t="inlineStr">
        <is>
          <t>06:00</t>
        </is>
      </c>
      <c r="E203">
        <f>HOUR(D203)+MINUTE(D203)/100</f>
        <v/>
      </c>
      <c r="F203">
        <f>ROUND(INT(E203) + (E203 - INT(E203)) * 100 / 60, 2)</f>
        <v/>
      </c>
      <c r="G203">
        <f>E203*4</f>
        <v/>
      </c>
      <c r="H203">
        <f>LET(total, INT(E203)*60 + (E203-INT(E203))*100, blocks, QUOTIENT(total, 15), extra, MOD(total, 15), units, blocks + IF(extra&gt;=8, 1, 0), units)</f>
        <v/>
      </c>
      <c r="J203">
        <f>IF(L203="Level 1", VLOOKUP(I203, UserCodes!E:F, 2, FALSE) * H203, IF(L203="Level 2", VLOOKUP(I203, UserCodes!E:F, 2, FALSE) * H203 * 0.8, 0))</f>
        <v/>
      </c>
      <c r="K203" t="inlineStr">
        <is>
          <t>Osman, Basra</t>
        </is>
      </c>
      <c r="L203">
        <f>VLOOKUP(K203, UserCodes!A:B, 2, FALSE)</f>
        <v/>
      </c>
    </row>
    <row r="204">
      <c r="A204" t="inlineStr">
        <is>
          <t>Kadir, Hamdi</t>
        </is>
      </c>
      <c r="B204" s="3" t="n">
        <v>46004</v>
      </c>
      <c r="C204" t="inlineStr">
        <is>
          <t>11:00 AM - 06:00 PM</t>
        </is>
      </c>
      <c r="D204" t="inlineStr">
        <is>
          <t>07:00</t>
        </is>
      </c>
      <c r="E204">
        <f>HOUR(D204)+MINUTE(D204)/100</f>
        <v/>
      </c>
      <c r="F204">
        <f>ROUND(INT(E204) + (E204 - INT(E204)) * 100 / 60, 2)</f>
        <v/>
      </c>
      <c r="G204">
        <f>E204*4</f>
        <v/>
      </c>
      <c r="H204">
        <f>LET(total, INT(E204)*60 + (E204-INT(E204))*100, blocks, QUOTIENT(total, 15), extra, MOD(total, 15), units, blocks + IF(extra&gt;=8, 1, 0), units)</f>
        <v/>
      </c>
      <c r="J204">
        <f>IF(L204="Level 1", VLOOKUP(I204, UserCodes!E:F, 2, FALSE) * H204, IF(L204="Level 2", VLOOKUP(I204, UserCodes!E:F, 2, FALSE) * H204 * 0.8, 0))</f>
        <v/>
      </c>
      <c r="K204" t="inlineStr">
        <is>
          <t>Mohamed, Samsam</t>
        </is>
      </c>
      <c r="L204">
        <f>VLOOKUP(K204, UserCodes!A:B, 2, FALSE)</f>
        <v/>
      </c>
    </row>
    <row r="205">
      <c r="A205" t="inlineStr">
        <is>
          <t>Kadir, Hamdi</t>
        </is>
      </c>
      <c r="B205" s="3" t="n">
        <v>46004</v>
      </c>
      <c r="C205" t="inlineStr">
        <is>
          <t>10:00 AM - 01:00 PM</t>
        </is>
      </c>
      <c r="D205" t="inlineStr">
        <is>
          <t>03:00</t>
        </is>
      </c>
      <c r="E205">
        <f>HOUR(D205)+MINUTE(D205)/100</f>
        <v/>
      </c>
      <c r="F205">
        <f>ROUND(INT(E205) + (E205 - INT(E205)) * 100 / 60, 2)</f>
        <v/>
      </c>
      <c r="G205">
        <f>E205*4</f>
        <v/>
      </c>
      <c r="H205">
        <f>LET(total, INT(E205)*60 + (E205-INT(E205))*100, blocks, QUOTIENT(total, 15), extra, MOD(total, 15), units, blocks + IF(extra&gt;=8, 1, 0), units)</f>
        <v/>
      </c>
      <c r="J205">
        <f>IF(L205="Level 1", VLOOKUP(I205, UserCodes!E:F, 2, FALSE) * H205, IF(L205="Level 2", VLOOKUP(I205, UserCodes!E:F, 2, FALSE) * H205 * 0.8, 0))</f>
        <v/>
      </c>
      <c r="K205" t="inlineStr">
        <is>
          <t>Hawadle, Abdiaziz</t>
        </is>
      </c>
      <c r="L205">
        <f>VLOOKUP(K205, UserCodes!A:B, 2, FALSE)</f>
        <v/>
      </c>
    </row>
    <row r="206">
      <c r="A206" t="inlineStr">
        <is>
          <t>Kadir, Hamdi</t>
        </is>
      </c>
      <c r="B206" s="3" t="n">
        <v>46003</v>
      </c>
      <c r="C206" t="inlineStr">
        <is>
          <t>12:55 PM - 03:45 PM</t>
        </is>
      </c>
      <c r="D206" t="inlineStr">
        <is>
          <t>02:50</t>
        </is>
      </c>
      <c r="E206">
        <f>HOUR(D206)+MINUTE(D206)/100</f>
        <v/>
      </c>
      <c r="F206">
        <f>ROUND(INT(E206) + (E206 - INT(E206)) * 100 / 60, 2)</f>
        <v/>
      </c>
      <c r="G206">
        <f>E206*4</f>
        <v/>
      </c>
      <c r="H206">
        <f>LET(total, INT(E206)*60 + (E206-INT(E206))*100, blocks, QUOTIENT(total, 15), extra, MOD(total, 15), units, blocks + IF(extra&gt;=8, 1, 0), units)</f>
        <v/>
      </c>
      <c r="J206">
        <f>IF(L206="Level 1", VLOOKUP(I206, UserCodes!E:F, 2, FALSE) * H206, IF(L206="Level 2", VLOOKUP(I206, UserCodes!E:F, 2, FALSE) * H206 * 0.8, 0))</f>
        <v/>
      </c>
      <c r="K206" t="inlineStr">
        <is>
          <t>Ahmed, Jama</t>
        </is>
      </c>
      <c r="L206">
        <f>VLOOKUP(K206, UserCodes!A:B, 2, FALSE)</f>
        <v/>
      </c>
    </row>
    <row r="207">
      <c r="A207" t="inlineStr">
        <is>
          <t>Kadir, Hamdi</t>
        </is>
      </c>
      <c r="B207" s="3" t="n">
        <v>46003</v>
      </c>
      <c r="C207" t="inlineStr">
        <is>
          <t>12:35 PM - 08:00 PM</t>
        </is>
      </c>
      <c r="D207" t="inlineStr">
        <is>
          <t>07:25</t>
        </is>
      </c>
      <c r="E207">
        <f>HOUR(D207)+MINUTE(D207)/100</f>
        <v/>
      </c>
      <c r="F207">
        <f>ROUND(INT(E207) + (E207 - INT(E207)) * 100 / 60, 2)</f>
        <v/>
      </c>
      <c r="G207">
        <f>E207*4</f>
        <v/>
      </c>
      <c r="H207">
        <f>LET(total, INT(E207)*60 + (E207-INT(E207))*100, blocks, QUOTIENT(total, 15), extra, MOD(total, 15), units, blocks + IF(extra&gt;=8, 1, 0), units)</f>
        <v/>
      </c>
      <c r="J207">
        <f>IF(L207="Level 1", VLOOKUP(I207, UserCodes!E:F, 2, FALSE) * H207, IF(L207="Level 2", VLOOKUP(I207, UserCodes!E:F, 2, FALSE) * H207 * 0.8, 0))</f>
        <v/>
      </c>
      <c r="K207" t="inlineStr">
        <is>
          <t>Mohamed, Samsam</t>
        </is>
      </c>
      <c r="L207">
        <f>VLOOKUP(K207, UserCodes!A:B, 2, FALSE)</f>
        <v/>
      </c>
    </row>
    <row r="208">
      <c r="A208" t="inlineStr">
        <is>
          <t>Kadir, Hamdi</t>
        </is>
      </c>
      <c r="B208" s="3" t="n">
        <v>46003</v>
      </c>
      <c r="C208" t="inlineStr">
        <is>
          <t>12:00 PM - 03:00 PM</t>
        </is>
      </c>
      <c r="D208" t="inlineStr">
        <is>
          <t>03:00</t>
        </is>
      </c>
      <c r="E208">
        <f>HOUR(D208)+MINUTE(D208)/100</f>
        <v/>
      </c>
      <c r="F208">
        <f>ROUND(INT(E208) + (E208 - INT(E208)) * 100 / 60, 2)</f>
        <v/>
      </c>
      <c r="G208">
        <f>E208*4</f>
        <v/>
      </c>
      <c r="H208">
        <f>LET(total, INT(E208)*60 + (E208-INT(E208))*100, blocks, QUOTIENT(total, 15), extra, MOD(total, 15), units, blocks + IF(extra&gt;=8, 1, 0), units)</f>
        <v/>
      </c>
      <c r="J208">
        <f>IF(L208="Level 1", VLOOKUP(I208, UserCodes!E:F, 2, FALSE) * H208, IF(L208="Level 2", VLOOKUP(I208, UserCodes!E:F, 2, FALSE) * H208 * 0.8, 0))</f>
        <v/>
      </c>
      <c r="K208" t="inlineStr">
        <is>
          <t>Muse, Adna</t>
        </is>
      </c>
      <c r="L208">
        <f>VLOOKUP(K208, UserCodes!A:B, 2, FALSE)</f>
        <v/>
      </c>
    </row>
    <row r="209">
      <c r="A209" t="inlineStr">
        <is>
          <t>Kadir, Hamdi</t>
        </is>
      </c>
      <c r="B209" s="3" t="n">
        <v>46002</v>
      </c>
      <c r="C209" t="inlineStr">
        <is>
          <t>02:00 PM - 05:00 PM</t>
        </is>
      </c>
      <c r="D209" t="inlineStr">
        <is>
          <t>03:00</t>
        </is>
      </c>
      <c r="E209">
        <f>HOUR(D209)+MINUTE(D209)/100</f>
        <v/>
      </c>
      <c r="F209">
        <f>ROUND(INT(E209) + (E209 - INT(E209)) * 100 / 60, 2)</f>
        <v/>
      </c>
      <c r="G209">
        <f>E209*4</f>
        <v/>
      </c>
      <c r="H209">
        <f>LET(total, INT(E209)*60 + (E209-INT(E209))*100, blocks, QUOTIENT(total, 15), extra, MOD(total, 15), units, blocks + IF(extra&gt;=8, 1, 0), units)</f>
        <v/>
      </c>
      <c r="J209">
        <f>IF(L209="Level 1", VLOOKUP(I209, UserCodes!E:F, 2, FALSE) * H209, IF(L209="Level 2", VLOOKUP(I209, UserCodes!E:F, 2, FALSE) * H209 * 0.8, 0))</f>
        <v/>
      </c>
      <c r="K209" t="inlineStr">
        <is>
          <t>Muse, Adna</t>
        </is>
      </c>
      <c r="L209">
        <f>VLOOKUP(K209, UserCodes!A:B, 2, FALSE)</f>
        <v/>
      </c>
    </row>
    <row r="210">
      <c r="A210" t="inlineStr">
        <is>
          <t>Kadir, Hamdi</t>
        </is>
      </c>
      <c r="B210" s="3" t="n">
        <v>46002</v>
      </c>
      <c r="C210" t="inlineStr">
        <is>
          <t>02:00 PM - 08:00 PM</t>
        </is>
      </c>
      <c r="D210" t="inlineStr">
        <is>
          <t>06:00</t>
        </is>
      </c>
      <c r="E210">
        <f>HOUR(D210)+MINUTE(D210)/100</f>
        <v/>
      </c>
      <c r="F210">
        <f>ROUND(INT(E210) + (E210 - INT(E210)) * 100 / 60, 2)</f>
        <v/>
      </c>
      <c r="G210">
        <f>E210*4</f>
        <v/>
      </c>
      <c r="H210">
        <f>LET(total, INT(E210)*60 + (E210-INT(E210))*100, blocks, QUOTIENT(total, 15), extra, MOD(total, 15), units, blocks + IF(extra&gt;=8, 1, 0), units)</f>
        <v/>
      </c>
      <c r="J210">
        <f>IF(L210="Level 1", VLOOKUP(I210, UserCodes!E:F, 2, FALSE) * H210, IF(L210="Level 2", VLOOKUP(I210, UserCodes!E:F, 2, FALSE) * H210 * 0.8, 0))</f>
        <v/>
      </c>
      <c r="K210" t="inlineStr">
        <is>
          <t>Mohamed, Samsam</t>
        </is>
      </c>
      <c r="L210">
        <f>VLOOKUP(K210, UserCodes!A:B, 2, FALSE)</f>
        <v/>
      </c>
    </row>
    <row r="211">
      <c r="A211" t="inlineStr">
        <is>
          <t>Kadir, Hamdi</t>
        </is>
      </c>
      <c r="B211" s="3" t="n">
        <v>46001</v>
      </c>
      <c r="C211" t="inlineStr">
        <is>
          <t>03:30 PM - 05:00 PM</t>
        </is>
      </c>
      <c r="D211" t="inlineStr">
        <is>
          <t>01:30</t>
        </is>
      </c>
      <c r="E211">
        <f>HOUR(D211)+MINUTE(D211)/100</f>
        <v/>
      </c>
      <c r="F211">
        <f>ROUND(INT(E211) + (E211 - INT(E211)) * 100 / 60, 2)</f>
        <v/>
      </c>
      <c r="G211">
        <f>E211*4</f>
        <v/>
      </c>
      <c r="H211">
        <f>LET(total, INT(E211)*60 + (E211-INT(E211))*100, blocks, QUOTIENT(total, 15), extra, MOD(total, 15), units, blocks + IF(extra&gt;=8, 1, 0), units)</f>
        <v/>
      </c>
      <c r="J211">
        <f>IF(L211="Level 1", VLOOKUP(I211, UserCodes!E:F, 2, FALSE) * H211, IF(L211="Level 2", VLOOKUP(I211, UserCodes!E:F, 2, FALSE) * H211 * 0.8, 0))</f>
        <v/>
      </c>
      <c r="K211" t="inlineStr">
        <is>
          <t>Muse, Adna</t>
        </is>
      </c>
      <c r="L211">
        <f>VLOOKUP(K211, UserCodes!A:B, 2, FALSE)</f>
        <v/>
      </c>
    </row>
    <row r="212">
      <c r="A212" t="inlineStr">
        <is>
          <t>Kadir, Hamdi</t>
        </is>
      </c>
      <c r="B212" s="3" t="n">
        <v>46001</v>
      </c>
      <c r="C212" t="inlineStr">
        <is>
          <t>02:00 PM - 05:00 PM</t>
        </is>
      </c>
      <c r="D212" t="inlineStr">
        <is>
          <t>03:00</t>
        </is>
      </c>
      <c r="E212">
        <f>HOUR(D212)+MINUTE(D212)/100</f>
        <v/>
      </c>
      <c r="F212">
        <f>ROUND(INT(E212) + (E212 - INT(E212)) * 100 / 60, 2)</f>
        <v/>
      </c>
      <c r="G212">
        <f>E212*4</f>
        <v/>
      </c>
      <c r="H212">
        <f>LET(total, INT(E212)*60 + (E212-INT(E212))*100, blocks, QUOTIENT(total, 15), extra, MOD(total, 15), units, blocks + IF(extra&gt;=8, 1, 0), units)</f>
        <v/>
      </c>
      <c r="J212">
        <f>IF(L212="Level 1", VLOOKUP(I212, UserCodes!E:F, 2, FALSE) * H212, IF(L212="Level 2", VLOOKUP(I212, UserCodes!E:F, 2, FALSE) * H212 * 0.8, 0))</f>
        <v/>
      </c>
      <c r="K212" t="inlineStr">
        <is>
          <t>Hashi, Ridwan</t>
        </is>
      </c>
      <c r="L212">
        <f>VLOOKUP(K212, UserCodes!A:B, 2, FALSE)</f>
        <v/>
      </c>
    </row>
    <row r="213">
      <c r="A213" t="inlineStr">
        <is>
          <t>Mohamed, Sumaya</t>
        </is>
      </c>
      <c r="B213" s="3" t="n">
        <v>46014</v>
      </c>
      <c r="C213" t="inlineStr">
        <is>
          <t>09:05 AM - 05:00 PM</t>
        </is>
      </c>
      <c r="D213" t="inlineStr">
        <is>
          <t>07:55</t>
        </is>
      </c>
      <c r="E213">
        <f>HOUR(D213)+MINUTE(D213)/100</f>
        <v/>
      </c>
      <c r="F213">
        <f>ROUND(INT(E213) + (E213 - INT(E213)) * 100 / 60, 2)</f>
        <v/>
      </c>
      <c r="G213">
        <f>E213*4</f>
        <v/>
      </c>
      <c r="H213">
        <f>LET(total, INT(E213)*60 + (E213-INT(E213))*100, blocks, QUOTIENT(total, 15), extra, MOD(total, 15), units, blocks + IF(extra&gt;=8, 1, 0), units)</f>
        <v/>
      </c>
      <c r="J213">
        <f>IF(L213="Level 1", VLOOKUP(I213, UserCodes!E:F, 2, FALSE) * H213, IF(L213="Level 2", VLOOKUP(I213, UserCodes!E:F, 2, FALSE) * H213 * 0.8, 0))</f>
        <v/>
      </c>
      <c r="K213" t="inlineStr">
        <is>
          <t>ALI, AMIRA</t>
        </is>
      </c>
      <c r="L213">
        <f>VLOOKUP(K213, UserCodes!A:B, 2, FALSE)</f>
        <v/>
      </c>
    </row>
    <row r="214">
      <c r="A214" t="inlineStr">
        <is>
          <t>Mohamed, Sumaya</t>
        </is>
      </c>
      <c r="B214" s="3" t="n">
        <v>46013</v>
      </c>
      <c r="C214" t="inlineStr">
        <is>
          <t>12:30 PM - 08:00 PM</t>
        </is>
      </c>
      <c r="D214" t="inlineStr">
        <is>
          <t>07:30</t>
        </is>
      </c>
      <c r="E214">
        <f>HOUR(D214)+MINUTE(D214)/100</f>
        <v/>
      </c>
      <c r="F214">
        <f>ROUND(INT(E214) + (E214 - INT(E214)) * 100 / 60, 2)</f>
        <v/>
      </c>
      <c r="G214">
        <f>E214*4</f>
        <v/>
      </c>
      <c r="H214">
        <f>LET(total, INT(E214)*60 + (E214-INT(E214))*100, blocks, QUOTIENT(total, 15), extra, MOD(total, 15), units, blocks + IF(extra&gt;=8, 1, 0), units)</f>
        <v/>
      </c>
      <c r="J214">
        <f>IF(L214="Level 1", VLOOKUP(I214, UserCodes!E:F, 2, FALSE) * H214, IF(L214="Level 2", VLOOKUP(I214, UserCodes!E:F, 2, FALSE) * H214 * 0.8, 0))</f>
        <v/>
      </c>
      <c r="K214" t="inlineStr">
        <is>
          <t>Muse, Adna</t>
        </is>
      </c>
      <c r="L214">
        <f>VLOOKUP(K214, UserCodes!A:B, 2, FALSE)</f>
        <v/>
      </c>
    </row>
    <row r="215">
      <c r="A215" t="inlineStr">
        <is>
          <t>Mohamed, Sumaya</t>
        </is>
      </c>
      <c r="B215" s="3" t="n">
        <v>46011</v>
      </c>
      <c r="C215" t="inlineStr">
        <is>
          <t>12:00 PM - 03:00 PM</t>
        </is>
      </c>
      <c r="D215" t="inlineStr">
        <is>
          <t>03:00</t>
        </is>
      </c>
      <c r="E215">
        <f>HOUR(D215)+MINUTE(D215)/100</f>
        <v/>
      </c>
      <c r="F215">
        <f>ROUND(INT(E215) + (E215 - INT(E215)) * 100 / 60, 2)</f>
        <v/>
      </c>
      <c r="G215">
        <f>E215*4</f>
        <v/>
      </c>
      <c r="H215">
        <f>LET(total, INT(E215)*60 + (E215-INT(E215))*100, blocks, QUOTIENT(total, 15), extra, MOD(total, 15), units, blocks + IF(extra&gt;=8, 1, 0), units)</f>
        <v/>
      </c>
      <c r="J215">
        <f>IF(L215="Level 1", VLOOKUP(I215, UserCodes!E:F, 2, FALSE) * H215, IF(L215="Level 2", VLOOKUP(I215, UserCodes!E:F, 2, FALSE) * H215 * 0.8, 0))</f>
        <v/>
      </c>
      <c r="K215" t="inlineStr">
        <is>
          <t>Muse, Adna</t>
        </is>
      </c>
      <c r="L215">
        <f>VLOOKUP(K215, UserCodes!A:B, 2, FALSE)</f>
        <v/>
      </c>
    </row>
    <row r="216">
      <c r="A216" t="inlineStr">
        <is>
          <t>Mohamed, Sumaya</t>
        </is>
      </c>
      <c r="B216" s="3" t="n">
        <v>46011</v>
      </c>
      <c r="C216" t="inlineStr">
        <is>
          <t>10:30 AM - 05:30 PM</t>
        </is>
      </c>
      <c r="D216" t="inlineStr">
        <is>
          <t>07:00</t>
        </is>
      </c>
      <c r="E216">
        <f>HOUR(D216)+MINUTE(D216)/100</f>
        <v/>
      </c>
      <c r="F216">
        <f>ROUND(INT(E216) + (E216 - INT(E216)) * 100 / 60, 2)</f>
        <v/>
      </c>
      <c r="G216">
        <f>E216*4</f>
        <v/>
      </c>
      <c r="H216">
        <f>LET(total, INT(E216)*60 + (E216-INT(E216))*100, blocks, QUOTIENT(total, 15), extra, MOD(total, 15), units, blocks + IF(extra&gt;=8, 1, 0), units)</f>
        <v/>
      </c>
      <c r="J216">
        <f>IF(L216="Level 1", VLOOKUP(I216, UserCodes!E:F, 2, FALSE) * H216, IF(L216="Level 2", VLOOKUP(I216, UserCodes!E:F, 2, FALSE) * H216 * 0.8, 0))</f>
        <v/>
      </c>
      <c r="K216" t="inlineStr">
        <is>
          <t>Muse, Nawaal</t>
        </is>
      </c>
      <c r="L216">
        <f>VLOOKUP(K216, UserCodes!A:B, 2, FALSE)</f>
        <v/>
      </c>
    </row>
    <row r="217">
      <c r="A217" t="inlineStr">
        <is>
          <t>Mohamed, Sumaya</t>
        </is>
      </c>
      <c r="B217" s="3" t="n">
        <v>46010</v>
      </c>
      <c r="C217" t="inlineStr">
        <is>
          <t>01:00 PM - 04:00 PM</t>
        </is>
      </c>
      <c r="D217" t="inlineStr">
        <is>
          <t>03:00</t>
        </is>
      </c>
      <c r="E217">
        <f>HOUR(D217)+MINUTE(D217)/100</f>
        <v/>
      </c>
      <c r="F217">
        <f>ROUND(INT(E217) + (E217 - INT(E217)) * 100 / 60, 2)</f>
        <v/>
      </c>
      <c r="G217">
        <f>E217*4</f>
        <v/>
      </c>
      <c r="H217">
        <f>LET(total, INT(E217)*60 + (E217-INT(E217))*100, blocks, QUOTIENT(total, 15), extra, MOD(total, 15), units, blocks + IF(extra&gt;=8, 1, 0), units)</f>
        <v/>
      </c>
      <c r="J217">
        <f>IF(L217="Level 1", VLOOKUP(I217, UserCodes!E:F, 2, FALSE) * H217, IF(L217="Level 2", VLOOKUP(I217, UserCodes!E:F, 2, FALSE) * H217 * 0.8, 0))</f>
        <v/>
      </c>
      <c r="K217" t="inlineStr">
        <is>
          <t>Muse, Adna</t>
        </is>
      </c>
      <c r="L217">
        <f>VLOOKUP(K217, UserCodes!A:B, 2, FALSE)</f>
        <v/>
      </c>
    </row>
    <row r="218">
      <c r="A218" t="inlineStr">
        <is>
          <t>Mohamed, Sumaya</t>
        </is>
      </c>
      <c r="B218" s="3" t="n">
        <v>46010</v>
      </c>
      <c r="C218" t="inlineStr">
        <is>
          <t>12:00 PM - 07:00 PM</t>
        </is>
      </c>
      <c r="D218" t="inlineStr">
        <is>
          <t>07:00</t>
        </is>
      </c>
      <c r="E218">
        <f>HOUR(D218)+MINUTE(D218)/100</f>
        <v/>
      </c>
      <c r="F218">
        <f>ROUND(INT(E218) + (E218 - INT(E218)) * 100 / 60, 2)</f>
        <v/>
      </c>
      <c r="G218">
        <f>E218*4</f>
        <v/>
      </c>
      <c r="H218">
        <f>LET(total, INT(E218)*60 + (E218-INT(E218))*100, blocks, QUOTIENT(total, 15), extra, MOD(total, 15), units, blocks + IF(extra&gt;=8, 1, 0), units)</f>
        <v/>
      </c>
      <c r="J218">
        <f>IF(L218="Level 1", VLOOKUP(I218, UserCodes!E:F, 2, FALSE) * H218, IF(L218="Level 2", VLOOKUP(I218, UserCodes!E:F, 2, FALSE) * H218 * 0.8, 0))</f>
        <v/>
      </c>
      <c r="K218" t="inlineStr">
        <is>
          <t>ALI, AMIRA</t>
        </is>
      </c>
      <c r="L218">
        <f>VLOOKUP(K218, UserCodes!A:B, 2, FALSE)</f>
        <v/>
      </c>
    </row>
    <row r="219">
      <c r="A219" t="inlineStr">
        <is>
          <t>Mohamed, Sumaya</t>
        </is>
      </c>
      <c r="B219" s="3" t="n">
        <v>46009</v>
      </c>
      <c r="C219" t="inlineStr">
        <is>
          <t>03:30 PM - 07:00 PM</t>
        </is>
      </c>
      <c r="D219" t="inlineStr">
        <is>
          <t>03:30</t>
        </is>
      </c>
      <c r="E219">
        <f>HOUR(D219)+MINUTE(D219)/100</f>
        <v/>
      </c>
      <c r="F219">
        <f>ROUND(INT(E219) + (E219 - INT(E219)) * 100 / 60, 2)</f>
        <v/>
      </c>
      <c r="G219">
        <f>E219*4</f>
        <v/>
      </c>
      <c r="H219">
        <f>LET(total, INT(E219)*60 + (E219-INT(E219))*100, blocks, QUOTIENT(total, 15), extra, MOD(total, 15), units, blocks + IF(extra&gt;=8, 1, 0), units)</f>
        <v/>
      </c>
      <c r="J219">
        <f>IF(L219="Level 1", VLOOKUP(I219, UserCodes!E:F, 2, FALSE) * H219, IF(L219="Level 2", VLOOKUP(I219, UserCodes!E:F, 2, FALSE) * H219 * 0.8, 0))</f>
        <v/>
      </c>
      <c r="K219" t="inlineStr">
        <is>
          <t>Hashi, Ridwan</t>
        </is>
      </c>
      <c r="L219">
        <f>VLOOKUP(K219, UserCodes!A:B, 2, FALSE)</f>
        <v/>
      </c>
    </row>
    <row r="220">
      <c r="A220" t="inlineStr">
        <is>
          <t>Mohamed, Sumaya</t>
        </is>
      </c>
      <c r="B220" s="3" t="n">
        <v>46009</v>
      </c>
      <c r="C220" t="inlineStr">
        <is>
          <t>12:30 PM - 02:00 PM</t>
        </is>
      </c>
      <c r="D220" t="inlineStr">
        <is>
          <t>01:30</t>
        </is>
      </c>
      <c r="E220">
        <f>HOUR(D220)+MINUTE(D220)/100</f>
        <v/>
      </c>
      <c r="F220">
        <f>ROUND(INT(E220) + (E220 - INT(E220)) * 100 / 60, 2)</f>
        <v/>
      </c>
      <c r="G220">
        <f>E220*4</f>
        <v/>
      </c>
      <c r="H220">
        <f>LET(total, INT(E220)*60 + (E220-INT(E220))*100, blocks, QUOTIENT(total, 15), extra, MOD(total, 15), units, blocks + IF(extra&gt;=8, 1, 0), units)</f>
        <v/>
      </c>
      <c r="J220">
        <f>IF(L220="Level 1", VLOOKUP(I220, UserCodes!E:F, 2, FALSE) * H220, IF(L220="Level 2", VLOOKUP(I220, UserCodes!E:F, 2, FALSE) * H220 * 0.8, 0))</f>
        <v/>
      </c>
      <c r="K220" t="inlineStr">
        <is>
          <t>Muse, Adna</t>
        </is>
      </c>
      <c r="L220">
        <f>VLOOKUP(K220, UserCodes!A:B, 2, FALSE)</f>
        <v/>
      </c>
    </row>
    <row r="221">
      <c r="A221" t="inlineStr">
        <is>
          <t>Mohamed, Sumaya</t>
        </is>
      </c>
      <c r="B221" s="3" t="n">
        <v>46009</v>
      </c>
      <c r="C221" t="inlineStr">
        <is>
          <t>12:00 PM - 02:00 PM</t>
        </is>
      </c>
      <c r="D221" t="inlineStr">
        <is>
          <t>02:00</t>
        </is>
      </c>
      <c r="E221">
        <f>HOUR(D221)+MINUTE(D221)/100</f>
        <v/>
      </c>
      <c r="F221">
        <f>ROUND(INT(E221) + (E221 - INT(E221)) * 100 / 60, 2)</f>
        <v/>
      </c>
      <c r="G221">
        <f>E221*4</f>
        <v/>
      </c>
      <c r="H221">
        <f>LET(total, INT(E221)*60 + (E221-INT(E221))*100, blocks, QUOTIENT(total, 15), extra, MOD(total, 15), units, blocks + IF(extra&gt;=8, 1, 0), units)</f>
        <v/>
      </c>
      <c r="J221">
        <f>IF(L221="Level 1", VLOOKUP(I221, UserCodes!E:F, 2, FALSE) * H221, IF(L221="Level 2", VLOOKUP(I221, UserCodes!E:F, 2, FALSE) * H221 * 0.8, 0))</f>
        <v/>
      </c>
      <c r="K221" t="inlineStr">
        <is>
          <t>Hashi, Ridwan</t>
        </is>
      </c>
      <c r="L221">
        <f>VLOOKUP(K221, UserCodes!A:B, 2, FALSE)</f>
        <v/>
      </c>
    </row>
    <row r="222">
      <c r="A222" t="inlineStr">
        <is>
          <t>Mohamed, Sumaya</t>
        </is>
      </c>
      <c r="B222" s="3" t="n">
        <v>46008</v>
      </c>
      <c r="C222" t="inlineStr">
        <is>
          <t>12:20 PM - 05:00 PM</t>
        </is>
      </c>
      <c r="D222" t="inlineStr">
        <is>
          <t>04:40</t>
        </is>
      </c>
      <c r="E222">
        <f>HOUR(D222)+MINUTE(D222)/100</f>
        <v/>
      </c>
      <c r="F222">
        <f>ROUND(INT(E222) + (E222 - INT(E222)) * 100 / 60, 2)</f>
        <v/>
      </c>
      <c r="G222">
        <f>E222*4</f>
        <v/>
      </c>
      <c r="H222">
        <f>LET(total, INT(E222)*60 + (E222-INT(E222))*100, blocks, QUOTIENT(total, 15), extra, MOD(total, 15), units, blocks + IF(extra&gt;=8, 1, 0), units)</f>
        <v/>
      </c>
      <c r="J222">
        <f>IF(L222="Level 1", VLOOKUP(I222, UserCodes!E:F, 2, FALSE) * H222, IF(L222="Level 2", VLOOKUP(I222, UserCodes!E:F, 2, FALSE) * H222 * 0.8, 0))</f>
        <v/>
      </c>
      <c r="K222" t="inlineStr">
        <is>
          <t>Muse, Adna</t>
        </is>
      </c>
      <c r="L222">
        <f>VLOOKUP(K222, UserCodes!A:B, 2, FALSE)</f>
        <v/>
      </c>
    </row>
    <row r="223">
      <c r="A223" t="inlineStr">
        <is>
          <t>Mohamed, Sumaya</t>
        </is>
      </c>
      <c r="B223" s="3" t="n">
        <v>46008</v>
      </c>
      <c r="C223" t="inlineStr">
        <is>
          <t>12:20 PM - 03:20 PM</t>
        </is>
      </c>
      <c r="D223" t="inlineStr">
        <is>
          <t>03:00</t>
        </is>
      </c>
      <c r="E223">
        <f>HOUR(D223)+MINUTE(D223)/100</f>
        <v/>
      </c>
      <c r="F223">
        <f>ROUND(INT(E223) + (E223 - INT(E223)) * 100 / 60, 2)</f>
        <v/>
      </c>
      <c r="G223">
        <f>E223*4</f>
        <v/>
      </c>
      <c r="H223">
        <f>LET(total, INT(E223)*60 + (E223-INT(E223))*100, blocks, QUOTIENT(total, 15), extra, MOD(total, 15), units, blocks + IF(extra&gt;=8, 1, 0), units)</f>
        <v/>
      </c>
      <c r="J223">
        <f>IF(L223="Level 1", VLOOKUP(I223, UserCodes!E:F, 2, FALSE) * H223, IF(L223="Level 2", VLOOKUP(I223, UserCodes!E:F, 2, FALSE) * H223 * 0.8, 0))</f>
        <v/>
      </c>
      <c r="K223" t="inlineStr">
        <is>
          <t>Muse, Aaliya</t>
        </is>
      </c>
      <c r="L223">
        <f>VLOOKUP(K223, UserCodes!A:B, 2, FALSE)</f>
        <v/>
      </c>
    </row>
    <row r="224">
      <c r="A224" t="inlineStr">
        <is>
          <t>Mohamed, Sumaya</t>
        </is>
      </c>
      <c r="B224" s="3" t="n">
        <v>46007</v>
      </c>
      <c r="C224" t="inlineStr">
        <is>
          <t>12:00 PM - 03:00 PM</t>
        </is>
      </c>
      <c r="D224" t="inlineStr">
        <is>
          <t>03:00</t>
        </is>
      </c>
      <c r="E224">
        <f>HOUR(D224)+MINUTE(D224)/100</f>
        <v/>
      </c>
      <c r="F224">
        <f>ROUND(INT(E224) + (E224 - INT(E224)) * 100 / 60, 2)</f>
        <v/>
      </c>
      <c r="G224">
        <f>E224*4</f>
        <v/>
      </c>
      <c r="H224">
        <f>LET(total, INT(E224)*60 + (E224-INT(E224))*100, blocks, QUOTIENT(total, 15), extra, MOD(total, 15), units, blocks + IF(extra&gt;=8, 1, 0), units)</f>
        <v/>
      </c>
      <c r="J224">
        <f>IF(L224="Level 1", VLOOKUP(I224, UserCodes!E:F, 2, FALSE) * H224, IF(L224="Level 2", VLOOKUP(I224, UserCodes!E:F, 2, FALSE) * H224 * 0.8, 0))</f>
        <v/>
      </c>
      <c r="K224" t="inlineStr">
        <is>
          <t>Muse, Adna</t>
        </is>
      </c>
      <c r="L224">
        <f>VLOOKUP(K224, UserCodes!A:B, 2, FALSE)</f>
        <v/>
      </c>
    </row>
    <row r="225">
      <c r="A225" t="inlineStr">
        <is>
          <t>Mohamed, Sumaya</t>
        </is>
      </c>
      <c r="B225" s="3" t="n">
        <v>46007</v>
      </c>
      <c r="C225" t="inlineStr">
        <is>
          <t>12:00 PM - 07:00 PM</t>
        </is>
      </c>
      <c r="D225" t="inlineStr">
        <is>
          <t>07:00</t>
        </is>
      </c>
      <c r="E225">
        <f>HOUR(D225)+MINUTE(D225)/100</f>
        <v/>
      </c>
      <c r="F225">
        <f>ROUND(INT(E225) + (E225 - INT(E225)) * 100 / 60, 2)</f>
        <v/>
      </c>
      <c r="G225">
        <f>E225*4</f>
        <v/>
      </c>
      <c r="H225">
        <f>LET(total, INT(E225)*60 + (E225-INT(E225))*100, blocks, QUOTIENT(total, 15), extra, MOD(total, 15), units, blocks + IF(extra&gt;=8, 1, 0), units)</f>
        <v/>
      </c>
      <c r="J225">
        <f>IF(L225="Level 1", VLOOKUP(I225, UserCodes!E:F, 2, FALSE) * H225, IF(L225="Level 2", VLOOKUP(I225, UserCodes!E:F, 2, FALSE) * H225 * 0.8, 0))</f>
        <v/>
      </c>
      <c r="K225" t="inlineStr">
        <is>
          <t>ALI, AMIRA</t>
        </is>
      </c>
      <c r="L225">
        <f>VLOOKUP(K225, UserCodes!A:B, 2, FALSE)</f>
        <v/>
      </c>
    </row>
    <row r="226">
      <c r="A226" t="inlineStr">
        <is>
          <t>Mohamed, Sumaya</t>
        </is>
      </c>
      <c r="B226" s="3" t="n">
        <v>46006</v>
      </c>
      <c r="C226" t="inlineStr">
        <is>
          <t>01:00 PM - 04:00 PM</t>
        </is>
      </c>
      <c r="D226" t="inlineStr">
        <is>
          <t>03:00</t>
        </is>
      </c>
      <c r="E226">
        <f>HOUR(D226)+MINUTE(D226)/100</f>
        <v/>
      </c>
      <c r="F226">
        <f>ROUND(INT(E226) + (E226 - INT(E226)) * 100 / 60, 2)</f>
        <v/>
      </c>
      <c r="G226">
        <f>E226*4</f>
        <v/>
      </c>
      <c r="H226">
        <f>LET(total, INT(E226)*60 + (E226-INT(E226))*100, blocks, QUOTIENT(total, 15), extra, MOD(total, 15), units, blocks + IF(extra&gt;=8, 1, 0), units)</f>
        <v/>
      </c>
      <c r="J226">
        <f>IF(L226="Level 1", VLOOKUP(I226, UserCodes!E:F, 2, FALSE) * H226, IF(L226="Level 2", VLOOKUP(I226, UserCodes!E:F, 2, FALSE) * H226 * 0.8, 0))</f>
        <v/>
      </c>
      <c r="K226" t="inlineStr">
        <is>
          <t>Muse, Adna</t>
        </is>
      </c>
      <c r="L226">
        <f>VLOOKUP(K226, UserCodes!A:B, 2, FALSE)</f>
        <v/>
      </c>
    </row>
    <row r="227">
      <c r="A227" t="inlineStr">
        <is>
          <t>Mohamed, Sumaya</t>
        </is>
      </c>
      <c r="B227" s="3" t="n">
        <v>46006</v>
      </c>
      <c r="C227" t="inlineStr">
        <is>
          <t>12:00 PM - 05:00 PM</t>
        </is>
      </c>
      <c r="D227" t="inlineStr">
        <is>
          <t>05:00</t>
        </is>
      </c>
      <c r="E227">
        <f>HOUR(D227)+MINUTE(D227)/100</f>
        <v/>
      </c>
      <c r="F227">
        <f>ROUND(INT(E227) + (E227 - INT(E227)) * 100 / 60, 2)</f>
        <v/>
      </c>
      <c r="G227">
        <f>E227*4</f>
        <v/>
      </c>
      <c r="H227">
        <f>LET(total, INT(E227)*60 + (E227-INT(E227))*100, blocks, QUOTIENT(total, 15), extra, MOD(total, 15), units, blocks + IF(extra&gt;=8, 1, 0), units)</f>
        <v/>
      </c>
      <c r="J227">
        <f>IF(L227="Level 1", VLOOKUP(I227, UserCodes!E:F, 2, FALSE) * H227, IF(L227="Level 2", VLOOKUP(I227, UserCodes!E:F, 2, FALSE) * H227 * 0.8, 0))</f>
        <v/>
      </c>
      <c r="K227" t="inlineStr">
        <is>
          <t>Hashi, Ridwan</t>
        </is>
      </c>
      <c r="L227">
        <f>VLOOKUP(K227, UserCodes!A:B, 2, FALSE)</f>
        <v/>
      </c>
    </row>
    <row r="228">
      <c r="A228" t="inlineStr">
        <is>
          <t>Mohamed, Sumaya</t>
        </is>
      </c>
      <c r="B228" s="3" t="n">
        <v>46001</v>
      </c>
      <c r="C228" t="inlineStr">
        <is>
          <t>12:30 PM - 03:30 PM</t>
        </is>
      </c>
      <c r="D228" t="inlineStr">
        <is>
          <t>03:00</t>
        </is>
      </c>
      <c r="E228">
        <f>HOUR(D228)+MINUTE(D228)/100</f>
        <v/>
      </c>
      <c r="F228">
        <f>ROUND(INT(E228) + (E228 - INT(E228)) * 100 / 60, 2)</f>
        <v/>
      </c>
      <c r="G228">
        <f>E228*4</f>
        <v/>
      </c>
      <c r="H228">
        <f>LET(total, INT(E228)*60 + (E228-INT(E228))*100, blocks, QUOTIENT(total, 15), extra, MOD(total, 15), units, blocks + IF(extra&gt;=8, 1, 0), units)</f>
        <v/>
      </c>
      <c r="J228">
        <f>IF(L228="Level 1", VLOOKUP(I228, UserCodes!E:F, 2, FALSE) * H228, IF(L228="Level 2", VLOOKUP(I228, UserCodes!E:F, 2, FALSE) * H228 * 0.8, 0))</f>
        <v/>
      </c>
      <c r="K228" t="inlineStr">
        <is>
          <t>Muse, Adna</t>
        </is>
      </c>
      <c r="L228">
        <f>VLOOKUP(K228, UserCodes!A:B, 2, FALSE)</f>
        <v/>
      </c>
    </row>
    <row r="229">
      <c r="A229" t="inlineStr">
        <is>
          <t>Mohamed, Sumaya</t>
        </is>
      </c>
      <c r="B229" s="3" t="n">
        <v>46001</v>
      </c>
      <c r="C229" t="inlineStr">
        <is>
          <t>12:30 PM - 03:30 PM</t>
        </is>
      </c>
      <c r="D229" t="inlineStr">
        <is>
          <t>03:00</t>
        </is>
      </c>
      <c r="E229">
        <f>HOUR(D229)+MINUTE(D229)/100</f>
        <v/>
      </c>
      <c r="F229">
        <f>ROUND(INT(E229) + (E229 - INT(E229)) * 100 / 60, 2)</f>
        <v/>
      </c>
      <c r="G229">
        <f>E229*4</f>
        <v/>
      </c>
      <c r="H229">
        <f>LET(total, INT(E229)*60 + (E229-INT(E229))*100, blocks, QUOTIENT(total, 15), extra, MOD(total, 15), units, blocks + IF(extra&gt;=8, 1, 0), units)</f>
        <v/>
      </c>
      <c r="J229">
        <f>IF(L229="Level 1", VLOOKUP(I229, UserCodes!E:F, 2, FALSE) * H229, IF(L229="Level 2", VLOOKUP(I229, UserCodes!E:F, 2, FALSE) * H229 * 0.8, 0))</f>
        <v/>
      </c>
      <c r="K229" t="inlineStr">
        <is>
          <t>Muse, Aaliya</t>
        </is>
      </c>
      <c r="L229">
        <f>VLOOKUP(K229, UserCodes!A:B, 2, FALSE)</f>
        <v/>
      </c>
    </row>
    <row r="230">
      <c r="A230" t="inlineStr">
        <is>
          <t>Omar, Abdiweli</t>
        </is>
      </c>
      <c r="B230" s="3" t="n">
        <v>46012</v>
      </c>
      <c r="C230" t="inlineStr">
        <is>
          <t>01:00 PM - 06:00 PM</t>
        </is>
      </c>
      <c r="D230" t="inlineStr">
        <is>
          <t>05:00</t>
        </is>
      </c>
      <c r="E230">
        <f>HOUR(D230)+MINUTE(D230)/100</f>
        <v/>
      </c>
      <c r="F230">
        <f>ROUND(INT(E230) + (E230 - INT(E230)) * 100 / 60, 2)</f>
        <v/>
      </c>
      <c r="G230">
        <f>E230*4</f>
        <v/>
      </c>
      <c r="H230">
        <f>LET(total, INT(E230)*60 + (E230-INT(E230))*100, blocks, QUOTIENT(total, 15), extra, MOD(total, 15), units, blocks + IF(extra&gt;=8, 1, 0), units)</f>
        <v/>
      </c>
      <c r="J230">
        <f>IF(L230="Level 1", VLOOKUP(I230, UserCodes!E:F, 2, FALSE) * H230, IF(L230="Level 2", VLOOKUP(I230, UserCodes!E:F, 2, FALSE) * H230 * 0.8, 0))</f>
        <v/>
      </c>
      <c r="K230" t="inlineStr">
        <is>
          <t>Webi3, Amina</t>
        </is>
      </c>
      <c r="L230">
        <f>VLOOKUP(K230, UserCodes!A:B, 2, FALSE)</f>
        <v/>
      </c>
    </row>
    <row r="231">
      <c r="A231" t="inlineStr">
        <is>
          <t>Omar, Abdiweli</t>
        </is>
      </c>
      <c r="B231" s="3" t="n">
        <v>46006</v>
      </c>
      <c r="C231" t="inlineStr">
        <is>
          <t>06:00 PM - 10:00 PM</t>
        </is>
      </c>
      <c r="D231" t="inlineStr">
        <is>
          <t>04:00</t>
        </is>
      </c>
      <c r="E231">
        <f>HOUR(D231)+MINUTE(D231)/100</f>
        <v/>
      </c>
      <c r="F231">
        <f>ROUND(INT(E231) + (E231 - INT(E231)) * 100 / 60, 2)</f>
        <v/>
      </c>
      <c r="G231">
        <f>E231*4</f>
        <v/>
      </c>
      <c r="H231">
        <f>LET(total, INT(E231)*60 + (E231-INT(E231))*100, blocks, QUOTIENT(total, 15), extra, MOD(total, 15), units, blocks + IF(extra&gt;=8, 1, 0), units)</f>
        <v/>
      </c>
      <c r="J231">
        <f>IF(L231="Level 1", VLOOKUP(I231, UserCodes!E:F, 2, FALSE) * H231, IF(L231="Level 2", VLOOKUP(I231, UserCodes!E:F, 2, FALSE) * H231 * 0.8, 0))</f>
        <v/>
      </c>
      <c r="K231" t="inlineStr">
        <is>
          <t>Webi3, Amina</t>
        </is>
      </c>
      <c r="L231">
        <f>VLOOKUP(K231, UserCodes!A:B, 2, FALSE)</f>
        <v/>
      </c>
    </row>
    <row r="232">
      <c r="A232" t="inlineStr">
        <is>
          <t>Omar, Abdiweli</t>
        </is>
      </c>
      <c r="B232" s="3" t="n">
        <v>46005</v>
      </c>
      <c r="C232" t="inlineStr">
        <is>
          <t>01:00 PM - 05:00 PM</t>
        </is>
      </c>
      <c r="D232" t="inlineStr">
        <is>
          <t>04:00</t>
        </is>
      </c>
      <c r="E232">
        <f>HOUR(D232)+MINUTE(D232)/100</f>
        <v/>
      </c>
      <c r="F232">
        <f>ROUND(INT(E232) + (E232 - INT(E232)) * 100 / 60, 2)</f>
        <v/>
      </c>
      <c r="G232">
        <f>E232*4</f>
        <v/>
      </c>
      <c r="H232">
        <f>LET(total, INT(E232)*60 + (E232-INT(E232))*100, blocks, QUOTIENT(total, 15), extra, MOD(total, 15), units, blocks + IF(extra&gt;=8, 1, 0), units)</f>
        <v/>
      </c>
      <c r="J232">
        <f>IF(L232="Level 1", VLOOKUP(I232, UserCodes!E:F, 2, FALSE) * H232, IF(L232="Level 2", VLOOKUP(I232, UserCodes!E:F, 2, FALSE) * H232 * 0.8, 0))</f>
        <v/>
      </c>
      <c r="K232" t="inlineStr">
        <is>
          <t>Webi3, Amina</t>
        </is>
      </c>
      <c r="L232">
        <f>VLOOKUP(K232, UserCodes!A:B, 2, FALSE)</f>
        <v/>
      </c>
    </row>
    <row r="233">
      <c r="A233" t="inlineStr">
        <is>
          <t>Sulub, Sharmake</t>
        </is>
      </c>
      <c r="B233" s="3" t="n">
        <v>46013</v>
      </c>
      <c r="C233" t="inlineStr">
        <is>
          <t>09:00 AM - 04:30 PM</t>
        </is>
      </c>
      <c r="D233" t="inlineStr">
        <is>
          <t>07:30</t>
        </is>
      </c>
      <c r="E233">
        <f>HOUR(D233)+MINUTE(D233)/100</f>
        <v/>
      </c>
      <c r="F233">
        <f>ROUND(INT(E233) + (E233 - INT(E233)) * 100 / 60, 2)</f>
        <v/>
      </c>
      <c r="G233">
        <f>E233*4</f>
        <v/>
      </c>
      <c r="H233">
        <f>LET(total, INT(E233)*60 + (E233-INT(E233))*100, blocks, QUOTIENT(total, 15), extra, MOD(total, 15), units, blocks + IF(extra&gt;=8, 1, 0), units)</f>
        <v/>
      </c>
      <c r="J233">
        <f>IF(L233="Level 1", VLOOKUP(I233, UserCodes!E:F, 2, FALSE) * H233, IF(L233="Level 2", VLOOKUP(I233, UserCodes!E:F, 2, FALSE) * H233 * 0.8, 0))</f>
        <v/>
      </c>
      <c r="K233" t="inlineStr">
        <is>
          <t>Ali, Nasteho</t>
        </is>
      </c>
      <c r="L233">
        <f>VLOOKUP(K233, UserCodes!A:B, 2, FALSE)</f>
        <v/>
      </c>
    </row>
    <row r="234">
      <c r="A234" t="inlineStr">
        <is>
          <t>Sulub, Sharmake</t>
        </is>
      </c>
      <c r="B234" s="3" t="n">
        <v>46011</v>
      </c>
      <c r="C234" t="inlineStr">
        <is>
          <t>10:00 AM - 05:30 PM</t>
        </is>
      </c>
      <c r="D234" t="inlineStr">
        <is>
          <t>07:30</t>
        </is>
      </c>
      <c r="E234">
        <f>HOUR(D234)+MINUTE(D234)/100</f>
        <v/>
      </c>
      <c r="F234">
        <f>ROUND(INT(E234) + (E234 - INT(E234)) * 100 / 60, 2)</f>
        <v/>
      </c>
      <c r="G234">
        <f>E234*4</f>
        <v/>
      </c>
      <c r="H234">
        <f>LET(total, INT(E234)*60 + (E234-INT(E234))*100, blocks, QUOTIENT(total, 15), extra, MOD(total, 15), units, blocks + IF(extra&gt;=8, 1, 0), units)</f>
        <v/>
      </c>
      <c r="J234">
        <f>IF(L234="Level 1", VLOOKUP(I234, UserCodes!E:F, 2, FALSE) * H234, IF(L234="Level 2", VLOOKUP(I234, UserCodes!E:F, 2, FALSE) * H234 * 0.8, 0))</f>
        <v/>
      </c>
      <c r="K234" t="inlineStr">
        <is>
          <t>Ali, Nasteho</t>
        </is>
      </c>
      <c r="L234">
        <f>VLOOKUP(K234, UserCodes!A:B, 2, FALSE)</f>
        <v/>
      </c>
    </row>
    <row r="235">
      <c r="A235" t="inlineStr">
        <is>
          <t>Sulub, Sharmake</t>
        </is>
      </c>
      <c r="B235" s="3" t="n">
        <v>46010</v>
      </c>
      <c r="C235" t="inlineStr">
        <is>
          <t>04:00 PM - 08:00 PM</t>
        </is>
      </c>
      <c r="D235" t="inlineStr">
        <is>
          <t>04:00</t>
        </is>
      </c>
      <c r="E235">
        <f>HOUR(D235)+MINUTE(D235)/100</f>
        <v/>
      </c>
      <c r="F235">
        <f>ROUND(INT(E235) + (E235 - INT(E235)) * 100 / 60, 2)</f>
        <v/>
      </c>
      <c r="G235">
        <f>E235*4</f>
        <v/>
      </c>
      <c r="H235">
        <f>LET(total, INT(E235)*60 + (E235-INT(E235))*100, blocks, QUOTIENT(total, 15), extra, MOD(total, 15), units, blocks + IF(extra&gt;=8, 1, 0), units)</f>
        <v/>
      </c>
      <c r="J235">
        <f>IF(L235="Level 1", VLOOKUP(I235, UserCodes!E:F, 2, FALSE) * H235, IF(L235="Level 2", VLOOKUP(I235, UserCodes!E:F, 2, FALSE) * H235 * 0.8, 0))</f>
        <v/>
      </c>
      <c r="K235" t="inlineStr">
        <is>
          <t>Ali, Nasteho</t>
        </is>
      </c>
      <c r="L235">
        <f>VLOOKUP(K235, UserCodes!A:B, 2, FALSE)</f>
        <v/>
      </c>
    </row>
    <row r="236">
      <c r="A236" t="inlineStr">
        <is>
          <t>Sulub, Sharmake</t>
        </is>
      </c>
      <c r="B236" s="3" t="n">
        <v>46009</v>
      </c>
      <c r="C236" t="inlineStr">
        <is>
          <t>04:00 PM - 07:00 PM</t>
        </is>
      </c>
      <c r="D236" t="inlineStr">
        <is>
          <t>03:00</t>
        </is>
      </c>
      <c r="E236">
        <f>HOUR(D236)+MINUTE(D236)/100</f>
        <v/>
      </c>
      <c r="F236">
        <f>ROUND(INT(E236) + (E236 - INT(E236)) * 100 / 60, 2)</f>
        <v/>
      </c>
      <c r="G236">
        <f>E236*4</f>
        <v/>
      </c>
      <c r="H236">
        <f>LET(total, INT(E236)*60 + (E236-INT(E236))*100, blocks, QUOTIENT(total, 15), extra, MOD(total, 15), units, blocks + IF(extra&gt;=8, 1, 0), units)</f>
        <v/>
      </c>
      <c r="J236">
        <f>IF(L236="Level 1", VLOOKUP(I236, UserCodes!E:F, 2, FALSE) * H236, IF(L236="Level 2", VLOOKUP(I236, UserCodes!E:F, 2, FALSE) * H236 * 0.8, 0))</f>
        <v/>
      </c>
      <c r="K236" t="inlineStr">
        <is>
          <t>Muse, Ayni</t>
        </is>
      </c>
      <c r="L236">
        <f>VLOOKUP(K236, UserCodes!A:B, 2, FALSE)</f>
        <v/>
      </c>
    </row>
    <row r="237">
      <c r="A237" t="inlineStr">
        <is>
          <t>Sulub, Sharmake</t>
        </is>
      </c>
      <c r="B237" s="3" t="n">
        <v>46009</v>
      </c>
      <c r="C237" t="inlineStr">
        <is>
          <t>04:00 PM - 08:00 PM</t>
        </is>
      </c>
      <c r="D237" t="inlineStr">
        <is>
          <t>04:00</t>
        </is>
      </c>
      <c r="E237">
        <f>HOUR(D237)+MINUTE(D237)/100</f>
        <v/>
      </c>
      <c r="F237">
        <f>ROUND(INT(E237) + (E237 - INT(E237)) * 100 / 60, 2)</f>
        <v/>
      </c>
      <c r="G237">
        <f>E237*4</f>
        <v/>
      </c>
      <c r="H237">
        <f>LET(total, INT(E237)*60 + (E237-INT(E237))*100, blocks, QUOTIENT(total, 15), extra, MOD(total, 15), units, blocks + IF(extra&gt;=8, 1, 0), units)</f>
        <v/>
      </c>
      <c r="J237">
        <f>IF(L237="Level 1", VLOOKUP(I237, UserCodes!E:F, 2, FALSE) * H237, IF(L237="Level 2", VLOOKUP(I237, UserCodes!E:F, 2, FALSE) * H237 * 0.8, 0))</f>
        <v/>
      </c>
      <c r="K237" t="inlineStr">
        <is>
          <t>Ali, Nasteho</t>
        </is>
      </c>
      <c r="L237">
        <f>VLOOKUP(K237, UserCodes!A:B, 2, FALSE)</f>
        <v/>
      </c>
    </row>
    <row r="238">
      <c r="A238" t="inlineStr">
        <is>
          <t>Sulub, Sharmake</t>
        </is>
      </c>
      <c r="B238" s="3" t="n">
        <v>46008</v>
      </c>
      <c r="C238" t="inlineStr">
        <is>
          <t>04:00 PM - 08:00 PM</t>
        </is>
      </c>
      <c r="D238" t="inlineStr">
        <is>
          <t>04:00</t>
        </is>
      </c>
      <c r="E238">
        <f>HOUR(D238)+MINUTE(D238)/100</f>
        <v/>
      </c>
      <c r="F238">
        <f>ROUND(INT(E238) + (E238 - INT(E238)) * 100 / 60, 2)</f>
        <v/>
      </c>
      <c r="G238">
        <f>E238*4</f>
        <v/>
      </c>
      <c r="H238">
        <f>LET(total, INT(E238)*60 + (E238-INT(E238))*100, blocks, QUOTIENT(total, 15), extra, MOD(total, 15), units, blocks + IF(extra&gt;=8, 1, 0), units)</f>
        <v/>
      </c>
      <c r="J238">
        <f>IF(L238="Level 1", VLOOKUP(I238, UserCodes!E:F, 2, FALSE) * H238, IF(L238="Level 2", VLOOKUP(I238, UserCodes!E:F, 2, FALSE) * H238 * 0.8, 0))</f>
        <v/>
      </c>
      <c r="K238" t="inlineStr">
        <is>
          <t>Ali, Nasteho</t>
        </is>
      </c>
      <c r="L238">
        <f>VLOOKUP(K238, UserCodes!A:B, 2, FALSE)</f>
        <v/>
      </c>
    </row>
    <row r="239">
      <c r="A239" t="inlineStr">
        <is>
          <t>Sulub, Sharmake</t>
        </is>
      </c>
      <c r="B239" s="3" t="n">
        <v>46007</v>
      </c>
      <c r="C239" t="inlineStr">
        <is>
          <t>04:00 PM - 08:00 PM</t>
        </is>
      </c>
      <c r="D239" t="inlineStr">
        <is>
          <t>04:00</t>
        </is>
      </c>
      <c r="E239">
        <f>HOUR(D239)+MINUTE(D239)/100</f>
        <v/>
      </c>
      <c r="F239">
        <f>ROUND(INT(E239) + (E239 - INT(E239)) * 100 / 60, 2)</f>
        <v/>
      </c>
      <c r="G239">
        <f>E239*4</f>
        <v/>
      </c>
      <c r="H239">
        <f>LET(total, INT(E239)*60 + (E239-INT(E239))*100, blocks, QUOTIENT(total, 15), extra, MOD(total, 15), units, blocks + IF(extra&gt;=8, 1, 0), units)</f>
        <v/>
      </c>
      <c r="J239">
        <f>IF(L239="Level 1", VLOOKUP(I239, UserCodes!E:F, 2, FALSE) * H239, IF(L239="Level 2", VLOOKUP(I239, UserCodes!E:F, 2, FALSE) * H239 * 0.8, 0))</f>
        <v/>
      </c>
      <c r="K239" t="inlineStr">
        <is>
          <t>Ali, Nasteho</t>
        </is>
      </c>
      <c r="L239">
        <f>VLOOKUP(K239, UserCodes!A:B, 2, FALSE)</f>
        <v/>
      </c>
    </row>
    <row r="240">
      <c r="A240" t="inlineStr">
        <is>
          <t>Sulub, Sharmake</t>
        </is>
      </c>
      <c r="B240" s="3" t="n">
        <v>46006</v>
      </c>
      <c r="C240" t="inlineStr">
        <is>
          <t>04:00 PM - 08:00 PM</t>
        </is>
      </c>
      <c r="D240" t="inlineStr">
        <is>
          <t>04:00</t>
        </is>
      </c>
      <c r="E240">
        <f>HOUR(D240)+MINUTE(D240)/100</f>
        <v/>
      </c>
      <c r="F240">
        <f>ROUND(INT(E240) + (E240 - INT(E240)) * 100 / 60, 2)</f>
        <v/>
      </c>
      <c r="G240">
        <f>E240*4</f>
        <v/>
      </c>
      <c r="H240">
        <f>LET(total, INT(E240)*60 + (E240-INT(E240))*100, blocks, QUOTIENT(total, 15), extra, MOD(total, 15), units, blocks + IF(extra&gt;=8, 1, 0), units)</f>
        <v/>
      </c>
      <c r="J240">
        <f>IF(L240="Level 1", VLOOKUP(I240, UserCodes!E:F, 2, FALSE) * H240, IF(L240="Level 2", VLOOKUP(I240, UserCodes!E:F, 2, FALSE) * H240 * 0.8, 0))</f>
        <v/>
      </c>
      <c r="K240" t="inlineStr">
        <is>
          <t>Ali, Nasteho</t>
        </is>
      </c>
      <c r="L240">
        <f>VLOOKUP(K240, UserCodes!A:B, 2, FALSE)</f>
        <v/>
      </c>
    </row>
    <row r="241">
      <c r="A241" t="inlineStr">
        <is>
          <t>Sulub, Sharmake</t>
        </is>
      </c>
      <c r="B241" s="3" t="n">
        <v>46004</v>
      </c>
      <c r="C241" t="inlineStr">
        <is>
          <t>12:30 PM - 02:50 PM</t>
        </is>
      </c>
      <c r="D241" t="inlineStr">
        <is>
          <t>02:20</t>
        </is>
      </c>
      <c r="E241">
        <f>HOUR(D241)+MINUTE(D241)/100</f>
        <v/>
      </c>
      <c r="F241">
        <f>ROUND(INT(E241) + (E241 - INT(E241)) * 100 / 60, 2)</f>
        <v/>
      </c>
      <c r="G241">
        <f>E241*4</f>
        <v/>
      </c>
      <c r="H241">
        <f>LET(total, INT(E241)*60 + (E241-INT(E241))*100, blocks, QUOTIENT(total, 15), extra, MOD(total, 15), units, blocks + IF(extra&gt;=8, 1, 0), units)</f>
        <v/>
      </c>
      <c r="J241">
        <f>IF(L241="Level 1", VLOOKUP(I241, UserCodes!E:F, 2, FALSE) * H241, IF(L241="Level 2", VLOOKUP(I241, UserCodes!E:F, 2, FALSE) * H241 * 0.8, 0))</f>
        <v/>
      </c>
      <c r="K241" t="inlineStr">
        <is>
          <t>Ahmed, Jama</t>
        </is>
      </c>
      <c r="L241">
        <f>VLOOKUP(K241, UserCodes!A:B, 2, FALSE)</f>
        <v/>
      </c>
    </row>
    <row r="242">
      <c r="A242" t="inlineStr">
        <is>
          <t>Sulub, Sharmake</t>
        </is>
      </c>
      <c r="B242" s="3" t="n">
        <v>46004</v>
      </c>
      <c r="C242" t="inlineStr">
        <is>
          <t>12:00 PM - 03:00 PM</t>
        </is>
      </c>
      <c r="D242" t="inlineStr">
        <is>
          <t>03:00</t>
        </is>
      </c>
      <c r="E242">
        <f>HOUR(D242)+MINUTE(D242)/100</f>
        <v/>
      </c>
      <c r="F242">
        <f>ROUND(INT(E242) + (E242 - INT(E242)) * 100 / 60, 2)</f>
        <v/>
      </c>
      <c r="G242">
        <f>E242*4</f>
        <v/>
      </c>
      <c r="H242">
        <f>LET(total, INT(E242)*60 + (E242-INT(E242))*100, blocks, QUOTIENT(total, 15), extra, MOD(total, 15), units, blocks + IF(extra&gt;=8, 1, 0), units)</f>
        <v/>
      </c>
      <c r="J242">
        <f>IF(L242="Level 1", VLOOKUP(I242, UserCodes!E:F, 2, FALSE) * H242, IF(L242="Level 2", VLOOKUP(I242, UserCodes!E:F, 2, FALSE) * H242 * 0.8, 0))</f>
        <v/>
      </c>
      <c r="K242" t="inlineStr">
        <is>
          <t>Muse, Aaliya</t>
        </is>
      </c>
      <c r="L242">
        <f>VLOOKUP(K242, UserCodes!A:B, 2, FALSE)</f>
        <v/>
      </c>
    </row>
    <row r="243">
      <c r="A243" t="inlineStr">
        <is>
          <t>Sulub, Sharmake</t>
        </is>
      </c>
      <c r="B243" s="3" t="n">
        <v>46004</v>
      </c>
      <c r="C243" t="inlineStr">
        <is>
          <t>10:30 AM - 06:00 PM</t>
        </is>
      </c>
      <c r="D243" t="inlineStr">
        <is>
          <t>07:30</t>
        </is>
      </c>
      <c r="E243">
        <f>HOUR(D243)+MINUTE(D243)/100</f>
        <v/>
      </c>
      <c r="F243">
        <f>ROUND(INT(E243) + (E243 - INT(E243)) * 100 / 60, 2)</f>
        <v/>
      </c>
      <c r="G243">
        <f>E243*4</f>
        <v/>
      </c>
      <c r="H243">
        <f>LET(total, INT(E243)*60 + (E243-INT(E243))*100, blocks, QUOTIENT(total, 15), extra, MOD(total, 15), units, blocks + IF(extra&gt;=8, 1, 0), units)</f>
        <v/>
      </c>
      <c r="J243">
        <f>IF(L243="Level 1", VLOOKUP(I243, UserCodes!E:F, 2, FALSE) * H243, IF(L243="Level 2", VLOOKUP(I243, UserCodes!E:F, 2, FALSE) * H243 * 0.8, 0))</f>
        <v/>
      </c>
      <c r="K243" t="inlineStr">
        <is>
          <t>Ali, Nasteho</t>
        </is>
      </c>
      <c r="L243">
        <f>VLOOKUP(K243, UserCodes!A:B, 2, FALSE)</f>
        <v/>
      </c>
    </row>
    <row r="244">
      <c r="A244" t="inlineStr">
        <is>
          <t>Sulub, Sharmake</t>
        </is>
      </c>
      <c r="B244" s="3" t="n">
        <v>46003</v>
      </c>
      <c r="C244" t="inlineStr">
        <is>
          <t>06:30 PM - 08:00 PM</t>
        </is>
      </c>
      <c r="D244" t="inlineStr">
        <is>
          <t>01:30</t>
        </is>
      </c>
      <c r="E244">
        <f>HOUR(D244)+MINUTE(D244)/100</f>
        <v/>
      </c>
      <c r="F244">
        <f>ROUND(INT(E244) + (E244 - INT(E244)) * 100 / 60, 2)</f>
        <v/>
      </c>
      <c r="G244">
        <f>E244*4</f>
        <v/>
      </c>
      <c r="H244">
        <f>LET(total, INT(E244)*60 + (E244-INT(E244))*100, blocks, QUOTIENT(total, 15), extra, MOD(total, 15), units, blocks + IF(extra&gt;=8, 1, 0), units)</f>
        <v/>
      </c>
      <c r="J244">
        <f>IF(L244="Level 1", VLOOKUP(I244, UserCodes!E:F, 2, FALSE) * H244, IF(L244="Level 2", VLOOKUP(I244, UserCodes!E:F, 2, FALSE) * H244 * 0.8, 0))</f>
        <v/>
      </c>
      <c r="K244" t="inlineStr">
        <is>
          <t>Ali, Nasteho</t>
        </is>
      </c>
      <c r="L244">
        <f>VLOOKUP(K244, UserCodes!A:B, 2, FALSE)</f>
        <v/>
      </c>
    </row>
    <row r="245">
      <c r="A245" t="inlineStr">
        <is>
          <t>Sulub, Sharmake</t>
        </is>
      </c>
      <c r="B245" s="3" t="n">
        <v>46002</v>
      </c>
      <c r="C245" t="inlineStr">
        <is>
          <t>04:00 PM - 08:00 PM</t>
        </is>
      </c>
      <c r="D245" t="inlineStr">
        <is>
          <t>04:00</t>
        </is>
      </c>
      <c r="E245">
        <f>HOUR(D245)+MINUTE(D245)/100</f>
        <v/>
      </c>
      <c r="F245">
        <f>ROUND(INT(E245) + (E245 - INT(E245)) * 100 / 60, 2)</f>
        <v/>
      </c>
      <c r="G245">
        <f>E245*4</f>
        <v/>
      </c>
      <c r="H245">
        <f>LET(total, INT(E245)*60 + (E245-INT(E245))*100, blocks, QUOTIENT(total, 15), extra, MOD(total, 15), units, blocks + IF(extra&gt;=8, 1, 0), units)</f>
        <v/>
      </c>
      <c r="J245">
        <f>IF(L245="Level 1", VLOOKUP(I245, UserCodes!E:F, 2, FALSE) * H245, IF(L245="Level 2", VLOOKUP(I245, UserCodes!E:F, 2, FALSE) * H245 * 0.8, 0))</f>
        <v/>
      </c>
      <c r="K245" t="inlineStr">
        <is>
          <t>Osman, Basra</t>
        </is>
      </c>
      <c r="L245">
        <f>VLOOKUP(K245, UserCodes!A:B, 2, FALSE)</f>
        <v/>
      </c>
    </row>
    <row r="246">
      <c r="A246" t="inlineStr">
        <is>
          <t>Yusuf 2, Khadra</t>
        </is>
      </c>
      <c r="B246" s="3" t="n">
        <v>46014</v>
      </c>
      <c r="C246" t="inlineStr">
        <is>
          <t>01:15 PM - 03:40 PM</t>
        </is>
      </c>
      <c r="D246" t="inlineStr">
        <is>
          <t>02:25</t>
        </is>
      </c>
      <c r="E246">
        <f>HOUR(D246)+MINUTE(D246)/100</f>
        <v/>
      </c>
      <c r="F246">
        <f>ROUND(INT(E246) + (E246 - INT(E246)) * 100 / 60, 2)</f>
        <v/>
      </c>
      <c r="G246">
        <f>E246*4</f>
        <v/>
      </c>
      <c r="H246">
        <f>LET(total, INT(E246)*60 + (E246-INT(E246))*100, blocks, QUOTIENT(total, 15), extra, MOD(total, 15), units, blocks + IF(extra&gt;=8, 1, 0), units)</f>
        <v/>
      </c>
      <c r="J246">
        <f>IF(L246="Level 1", VLOOKUP(I246, UserCodes!E:F, 2, FALSE) * H246, IF(L246="Level 2", VLOOKUP(I246, UserCodes!E:F, 2, FALSE) * H246 * 0.8, 0))</f>
        <v/>
      </c>
      <c r="K246" t="inlineStr">
        <is>
          <t>Ahmed, Jama</t>
        </is>
      </c>
      <c r="L246">
        <f>VLOOKUP(K246, UserCodes!A:B, 2, FALSE)</f>
        <v/>
      </c>
    </row>
    <row r="247">
      <c r="A247" t="inlineStr">
        <is>
          <t>Yusuf 2, Khadra</t>
        </is>
      </c>
      <c r="B247" s="3" t="n">
        <v>46014</v>
      </c>
      <c r="C247" t="inlineStr">
        <is>
          <t>12:30 PM - 06:00 PM</t>
        </is>
      </c>
      <c r="D247" t="inlineStr">
        <is>
          <t>05:30</t>
        </is>
      </c>
      <c r="E247">
        <f>HOUR(D247)+MINUTE(D247)/100</f>
        <v/>
      </c>
      <c r="F247">
        <f>ROUND(INT(E247) + (E247 - INT(E247)) * 100 / 60, 2)</f>
        <v/>
      </c>
      <c r="G247">
        <f>E247*4</f>
        <v/>
      </c>
      <c r="H247">
        <f>LET(total, INT(E247)*60 + (E247-INT(E247))*100, blocks, QUOTIENT(total, 15), extra, MOD(total, 15), units, blocks + IF(extra&gt;=8, 1, 0), units)</f>
        <v/>
      </c>
      <c r="J247">
        <f>IF(L247="Level 1", VLOOKUP(I247, UserCodes!E:F, 2, FALSE) * H247, IF(L247="Level 2", VLOOKUP(I247, UserCodes!E:F, 2, FALSE) * H247 * 0.8, 0))</f>
        <v/>
      </c>
      <c r="K247" t="inlineStr">
        <is>
          <t>Muse, Ayni</t>
        </is>
      </c>
      <c r="L247">
        <f>VLOOKUP(K247, UserCodes!A:B, 2, FALSE)</f>
        <v/>
      </c>
    </row>
    <row r="248">
      <c r="A248" t="inlineStr">
        <is>
          <t>Yusuf 2, Khadra</t>
        </is>
      </c>
      <c r="B248" s="3" t="n">
        <v>46014</v>
      </c>
      <c r="C248" t="inlineStr">
        <is>
          <t>10:00 AM - 12:00 PM</t>
        </is>
      </c>
      <c r="D248" t="inlineStr">
        <is>
          <t>02:00</t>
        </is>
      </c>
      <c r="E248">
        <f>HOUR(D248)+MINUTE(D248)/100</f>
        <v/>
      </c>
      <c r="F248">
        <f>ROUND(INT(E248) + (E248 - INT(E248)) * 100 / 60, 2)</f>
        <v/>
      </c>
      <c r="G248">
        <f>E248*4</f>
        <v/>
      </c>
      <c r="H248">
        <f>LET(total, INT(E248)*60 + (E248-INT(E248))*100, blocks, QUOTIENT(total, 15), extra, MOD(total, 15), units, blocks + IF(extra&gt;=8, 1, 0), units)</f>
        <v/>
      </c>
      <c r="J248">
        <f>IF(L248="Level 1", VLOOKUP(I248, UserCodes!E:F, 2, FALSE) * H248, IF(L248="Level 2", VLOOKUP(I248, UserCodes!E:F, 2, FALSE) * H248 * 0.8, 0))</f>
        <v/>
      </c>
      <c r="K248" t="inlineStr">
        <is>
          <t>Muse, Ayni</t>
        </is>
      </c>
      <c r="L248">
        <f>VLOOKUP(K248, UserCodes!A:B, 2, FALSE)</f>
        <v/>
      </c>
    </row>
    <row r="249">
      <c r="A249" t="inlineStr">
        <is>
          <t>Yusuf 2, Khadra</t>
        </is>
      </c>
      <c r="B249" s="3" t="n">
        <v>46013</v>
      </c>
      <c r="C249" t="inlineStr">
        <is>
          <t>01:00 PM - 06:00 PM</t>
        </is>
      </c>
      <c r="D249" t="inlineStr">
        <is>
          <t>05:00</t>
        </is>
      </c>
      <c r="E249">
        <f>HOUR(D249)+MINUTE(D249)/100</f>
        <v/>
      </c>
      <c r="F249">
        <f>ROUND(INT(E249) + (E249 - INT(E249)) * 100 / 60, 2)</f>
        <v/>
      </c>
      <c r="G249">
        <f>E249*4</f>
        <v/>
      </c>
      <c r="H249">
        <f>LET(total, INT(E249)*60 + (E249-INT(E249))*100, blocks, QUOTIENT(total, 15), extra, MOD(total, 15), units, blocks + IF(extra&gt;=8, 1, 0), units)</f>
        <v/>
      </c>
      <c r="J249">
        <f>IF(L249="Level 1", VLOOKUP(I249, UserCodes!E:F, 2, FALSE) * H249, IF(L249="Level 2", VLOOKUP(I249, UserCodes!E:F, 2, FALSE) * H249 * 0.8, 0))</f>
        <v/>
      </c>
      <c r="K249" t="inlineStr">
        <is>
          <t>Hashi, Ridwan</t>
        </is>
      </c>
      <c r="L249">
        <f>VLOOKUP(K249, UserCodes!A:B, 2, FALSE)</f>
        <v/>
      </c>
    </row>
    <row r="250">
      <c r="A250" t="inlineStr">
        <is>
          <t>Yusuf 2, Khadra</t>
        </is>
      </c>
      <c r="B250" s="3" t="n">
        <v>46013</v>
      </c>
      <c r="C250" t="inlineStr">
        <is>
          <t>10:00 AM - 12:30 PM</t>
        </is>
      </c>
      <c r="D250" t="inlineStr">
        <is>
          <t>02:30</t>
        </is>
      </c>
      <c r="E250">
        <f>HOUR(D250)+MINUTE(D250)/100</f>
        <v/>
      </c>
      <c r="F250">
        <f>ROUND(INT(E250) + (E250 - INT(E250)) * 100 / 60, 2)</f>
        <v/>
      </c>
      <c r="G250">
        <f>E250*4</f>
        <v/>
      </c>
      <c r="H250">
        <f>LET(total, INT(E250)*60 + (E250-INT(E250))*100, blocks, QUOTIENT(total, 15), extra, MOD(total, 15), units, blocks + IF(extra&gt;=8, 1, 0), units)</f>
        <v/>
      </c>
      <c r="J250">
        <f>IF(L250="Level 1", VLOOKUP(I250, UserCodes!E:F, 2, FALSE) * H250, IF(L250="Level 2", VLOOKUP(I250, UserCodes!E:F, 2, FALSE) * H250 * 0.8, 0))</f>
        <v/>
      </c>
      <c r="K250" t="inlineStr">
        <is>
          <t>Hashi, Ridwan</t>
        </is>
      </c>
      <c r="L250">
        <f>VLOOKUP(K250, UserCodes!A:B, 2, FALSE)</f>
        <v/>
      </c>
    </row>
    <row r="251">
      <c r="A251" t="inlineStr">
        <is>
          <t>Yusuf 2, Khadra</t>
        </is>
      </c>
      <c r="B251" s="3" t="n">
        <v>46013</v>
      </c>
      <c r="C251" t="inlineStr">
        <is>
          <t>10:00 AM - 12:30 PM</t>
        </is>
      </c>
      <c r="D251" t="inlineStr">
        <is>
          <t>02:30</t>
        </is>
      </c>
      <c r="E251">
        <f>HOUR(D251)+MINUTE(D251)/100</f>
        <v/>
      </c>
      <c r="F251">
        <f>ROUND(INT(E251) + (E251 - INT(E251)) * 100 / 60, 2)</f>
        <v/>
      </c>
      <c r="G251">
        <f>E251*4</f>
        <v/>
      </c>
      <c r="H251">
        <f>LET(total, INT(E251)*60 + (E251-INT(E251))*100, blocks, QUOTIENT(total, 15), extra, MOD(total, 15), units, blocks + IF(extra&gt;=8, 1, 0), units)</f>
        <v/>
      </c>
      <c r="J251">
        <f>IF(L251="Level 1", VLOOKUP(I251, UserCodes!E:F, 2, FALSE) * H251, IF(L251="Level 2", VLOOKUP(I251, UserCodes!E:F, 2, FALSE) * H251 * 0.8, 0))</f>
        <v/>
      </c>
      <c r="K251" t="inlineStr">
        <is>
          <t>Muse, Adna</t>
        </is>
      </c>
      <c r="L251">
        <f>VLOOKUP(K251, UserCodes!A:B, 2, FALSE)</f>
        <v/>
      </c>
    </row>
    <row r="252">
      <c r="A252" t="inlineStr">
        <is>
          <t>Yusuf 2, Khadra</t>
        </is>
      </c>
      <c r="B252" s="3" t="n">
        <v>46012</v>
      </c>
      <c r="C252" t="inlineStr">
        <is>
          <t>10:00 AM - 12:30 PM</t>
        </is>
      </c>
      <c r="D252" t="inlineStr">
        <is>
          <t>02:30</t>
        </is>
      </c>
      <c r="E252">
        <f>HOUR(D252)+MINUTE(D252)/100</f>
        <v/>
      </c>
      <c r="F252">
        <f>ROUND(INT(E252) + (E252 - INT(E252)) * 100 / 60, 2)</f>
        <v/>
      </c>
      <c r="G252">
        <f>E252*4</f>
        <v/>
      </c>
      <c r="H252">
        <f>LET(total, INT(E252)*60 + (E252-INT(E252))*100, blocks, QUOTIENT(total, 15), extra, MOD(total, 15), units, blocks + IF(extra&gt;=8, 1, 0), units)</f>
        <v/>
      </c>
      <c r="J252">
        <f>IF(L252="Level 1", VLOOKUP(I252, UserCodes!E:F, 2, FALSE) * H252, IF(L252="Level 2", VLOOKUP(I252, UserCodes!E:F, 2, FALSE) * H252 * 0.8, 0))</f>
        <v/>
      </c>
      <c r="K252" t="inlineStr">
        <is>
          <t>Ahmed, Jama</t>
        </is>
      </c>
      <c r="L252">
        <f>VLOOKUP(K252, UserCodes!A:B, 2, FALSE)</f>
        <v/>
      </c>
    </row>
    <row r="253">
      <c r="A253" t="inlineStr">
        <is>
          <t>Yusuf 2, Khadra</t>
        </is>
      </c>
      <c r="B253" s="3" t="n">
        <v>46011</v>
      </c>
      <c r="C253" t="inlineStr">
        <is>
          <t>11:30 AM - 01:00 PM</t>
        </is>
      </c>
      <c r="D253" t="inlineStr">
        <is>
          <t>01:30</t>
        </is>
      </c>
      <c r="E253">
        <f>HOUR(D253)+MINUTE(D253)/100</f>
        <v/>
      </c>
      <c r="F253">
        <f>ROUND(INT(E253) + (E253 - INT(E253)) * 100 / 60, 2)</f>
        <v/>
      </c>
      <c r="G253">
        <f>E253*4</f>
        <v/>
      </c>
      <c r="H253">
        <f>LET(total, INT(E253)*60 + (E253-INT(E253))*100, blocks, QUOTIENT(total, 15), extra, MOD(total, 15), units, blocks + IF(extra&gt;=8, 1, 0), units)</f>
        <v/>
      </c>
      <c r="J253">
        <f>IF(L253="Level 1", VLOOKUP(I253, UserCodes!E:F, 2, FALSE) * H253, IF(L253="Level 2", VLOOKUP(I253, UserCodes!E:F, 2, FALSE) * H253 * 0.8, 0))</f>
        <v/>
      </c>
      <c r="K253" t="inlineStr">
        <is>
          <t>Ibrahim, Ahmed</t>
        </is>
      </c>
      <c r="L253">
        <f>VLOOKUP(K253, UserCodes!A:B, 2, FALSE)</f>
        <v/>
      </c>
    </row>
    <row r="254">
      <c r="A254" t="inlineStr">
        <is>
          <t>Yusuf 2, Khadra</t>
        </is>
      </c>
      <c r="B254" s="3" t="n">
        <v>46011</v>
      </c>
      <c r="C254" t="inlineStr">
        <is>
          <t>11:15 AM - 05:12 PM</t>
        </is>
      </c>
      <c r="D254" t="inlineStr">
        <is>
          <t>05:57</t>
        </is>
      </c>
      <c r="E254">
        <f>HOUR(D254)+MINUTE(D254)/100</f>
        <v/>
      </c>
      <c r="F254">
        <f>ROUND(INT(E254) + (E254 - INT(E254)) * 100 / 60, 2)</f>
        <v/>
      </c>
      <c r="G254">
        <f>E254*4</f>
        <v/>
      </c>
      <c r="H254">
        <f>LET(total, INT(E254)*60 + (E254-INT(E254))*100, blocks, QUOTIENT(total, 15), extra, MOD(total, 15), units, blocks + IF(extra&gt;=8, 1, 0), units)</f>
        <v/>
      </c>
      <c r="J254">
        <f>IF(L254="Level 1", VLOOKUP(I254, UserCodes!E:F, 2, FALSE) * H254, IF(L254="Level 2", VLOOKUP(I254, UserCodes!E:F, 2, FALSE) * H254 * 0.8, 0))</f>
        <v/>
      </c>
      <c r="K254" t="inlineStr">
        <is>
          <t>Barqab, Mushtaq</t>
        </is>
      </c>
      <c r="L254">
        <f>VLOOKUP(K254, UserCodes!A:B, 2, FALSE)</f>
        <v/>
      </c>
    </row>
    <row r="255">
      <c r="A255" t="inlineStr">
        <is>
          <t>Yusuf 2, Khadra</t>
        </is>
      </c>
      <c r="B255" s="3" t="n">
        <v>46011</v>
      </c>
      <c r="C255" t="inlineStr">
        <is>
          <t>09:00 AM - 11:15 AM</t>
        </is>
      </c>
      <c r="D255" t="inlineStr">
        <is>
          <t>02:15</t>
        </is>
      </c>
      <c r="E255">
        <f>HOUR(D255)+MINUTE(D255)/100</f>
        <v/>
      </c>
      <c r="F255">
        <f>ROUND(INT(E255) + (E255 - INT(E255)) * 100 / 60, 2)</f>
        <v/>
      </c>
      <c r="G255">
        <f>E255*4</f>
        <v/>
      </c>
      <c r="H255">
        <f>LET(total, INT(E255)*60 + (E255-INT(E255))*100, blocks, QUOTIENT(total, 15), extra, MOD(total, 15), units, blocks + IF(extra&gt;=8, 1, 0), units)</f>
        <v/>
      </c>
      <c r="J255">
        <f>IF(L255="Level 1", VLOOKUP(I255, UserCodes!E:F, 2, FALSE) * H255, IF(L255="Level 2", VLOOKUP(I255, UserCodes!E:F, 2, FALSE) * H255 * 0.8, 0))</f>
        <v/>
      </c>
      <c r="K255" t="inlineStr">
        <is>
          <t>Osman, Basra</t>
        </is>
      </c>
      <c r="L255">
        <f>VLOOKUP(K255, UserCodes!A:B, 2, FALSE)</f>
        <v/>
      </c>
    </row>
    <row r="256">
      <c r="A256" t="inlineStr">
        <is>
          <t>Yusuf 2, Khadra</t>
        </is>
      </c>
      <c r="B256" s="3" t="n">
        <v>46009</v>
      </c>
      <c r="C256" t="inlineStr">
        <is>
          <t>01:00 PM - 06:00 PM</t>
        </is>
      </c>
      <c r="D256" t="inlineStr">
        <is>
          <t>05:00</t>
        </is>
      </c>
      <c r="E256">
        <f>HOUR(D256)+MINUTE(D256)/100</f>
        <v/>
      </c>
      <c r="F256">
        <f>ROUND(INT(E256) + (E256 - INT(E256)) * 100 / 60, 2)</f>
        <v/>
      </c>
      <c r="G256">
        <f>E256*4</f>
        <v/>
      </c>
      <c r="H256">
        <f>LET(total, INT(E256)*60 + (E256-INT(E256))*100, blocks, QUOTIENT(total, 15), extra, MOD(total, 15), units, blocks + IF(extra&gt;=8, 1, 0), units)</f>
        <v/>
      </c>
      <c r="J256">
        <f>IF(L256="Level 1", VLOOKUP(I256, UserCodes!E:F, 2, FALSE) * H256, IF(L256="Level 2", VLOOKUP(I256, UserCodes!E:F, 2, FALSE) * H256 * 0.8, 0))</f>
        <v/>
      </c>
      <c r="K256" t="inlineStr">
        <is>
          <t>Ali, Naima</t>
        </is>
      </c>
      <c r="L256">
        <f>VLOOKUP(K256, UserCodes!A:B, 2, FALSE)</f>
        <v/>
      </c>
    </row>
    <row r="257">
      <c r="A257" t="inlineStr">
        <is>
          <t>Yusuf 2, Khadra</t>
        </is>
      </c>
      <c r="B257" s="3" t="n">
        <v>46009</v>
      </c>
      <c r="C257" t="inlineStr">
        <is>
          <t>01:00 PM - 04:00 PM</t>
        </is>
      </c>
      <c r="D257" t="inlineStr">
        <is>
          <t>03:00</t>
        </is>
      </c>
      <c r="E257">
        <f>HOUR(D257)+MINUTE(D257)/100</f>
        <v/>
      </c>
      <c r="F257">
        <f>ROUND(INT(E257) + (E257 - INT(E257)) * 100 / 60, 2)</f>
        <v/>
      </c>
      <c r="G257">
        <f>E257*4</f>
        <v/>
      </c>
      <c r="H257">
        <f>LET(total, INT(E257)*60 + (E257-INT(E257))*100, blocks, QUOTIENT(total, 15), extra, MOD(total, 15), units, blocks + IF(extra&gt;=8, 1, 0), units)</f>
        <v/>
      </c>
      <c r="J257">
        <f>IF(L257="Level 1", VLOOKUP(I257, UserCodes!E:F, 2, FALSE) * H257, IF(L257="Level 2", VLOOKUP(I257, UserCodes!E:F, 2, FALSE) * H257 * 0.8, 0))</f>
        <v/>
      </c>
      <c r="K257" t="inlineStr">
        <is>
          <t>Muse, Ayni</t>
        </is>
      </c>
      <c r="L257">
        <f>VLOOKUP(K257, UserCodes!A:B, 2, FALSE)</f>
        <v/>
      </c>
    </row>
    <row r="258">
      <c r="A258" t="inlineStr">
        <is>
          <t>Yusuf 2, Khadra</t>
        </is>
      </c>
      <c r="B258" s="3" t="n">
        <v>46009</v>
      </c>
      <c r="C258" t="inlineStr">
        <is>
          <t>09:35 AM - 11:40 AM</t>
        </is>
      </c>
      <c r="D258" t="inlineStr">
        <is>
          <t>02:05</t>
        </is>
      </c>
      <c r="E258">
        <f>HOUR(D258)+MINUTE(D258)/100</f>
        <v/>
      </c>
      <c r="F258">
        <f>ROUND(INT(E258) + (E258 - INT(E258)) * 100 / 60, 2)</f>
        <v/>
      </c>
      <c r="G258">
        <f>E258*4</f>
        <v/>
      </c>
      <c r="H258">
        <f>LET(total, INT(E258)*60 + (E258-INT(E258))*100, blocks, QUOTIENT(total, 15), extra, MOD(total, 15), units, blocks + IF(extra&gt;=8, 1, 0), units)</f>
        <v/>
      </c>
      <c r="J258">
        <f>IF(L258="Level 1", VLOOKUP(I258, UserCodes!E:F, 2, FALSE) * H258, IF(L258="Level 2", VLOOKUP(I258, UserCodes!E:F, 2, FALSE) * H258 * 0.8, 0))</f>
        <v/>
      </c>
      <c r="K258" t="inlineStr">
        <is>
          <t>Ahmed, Jama</t>
        </is>
      </c>
      <c r="L258">
        <f>VLOOKUP(K258, UserCodes!A:B, 2, FALSE)</f>
        <v/>
      </c>
    </row>
    <row r="259">
      <c r="A259" t="inlineStr">
        <is>
          <t>Yusuf 2, Khadra</t>
        </is>
      </c>
      <c r="B259" s="3" t="n">
        <v>46008</v>
      </c>
      <c r="C259" t="inlineStr">
        <is>
          <t>01:00 PM - 02:00 PM</t>
        </is>
      </c>
      <c r="D259" t="inlineStr">
        <is>
          <t>01:00</t>
        </is>
      </c>
      <c r="E259">
        <f>HOUR(D259)+MINUTE(D259)/100</f>
        <v/>
      </c>
      <c r="F259">
        <f>ROUND(INT(E259) + (E259 - INT(E259)) * 100 / 60, 2)</f>
        <v/>
      </c>
      <c r="G259">
        <f>E259*4</f>
        <v/>
      </c>
      <c r="H259">
        <f>LET(total, INT(E259)*60 + (E259-INT(E259))*100, blocks, QUOTIENT(total, 15), extra, MOD(total, 15), units, blocks + IF(extra&gt;=8, 1, 0), units)</f>
        <v/>
      </c>
      <c r="J259">
        <f>IF(L259="Level 1", VLOOKUP(I259, UserCodes!E:F, 2, FALSE) * H259, IF(L259="Level 2", VLOOKUP(I259, UserCodes!E:F, 2, FALSE) * H259 * 0.8, 0))</f>
        <v/>
      </c>
      <c r="K259" t="inlineStr">
        <is>
          <t>Muse, Ayni</t>
        </is>
      </c>
      <c r="L259">
        <f>VLOOKUP(K259, UserCodes!A:B, 2, FALSE)</f>
        <v/>
      </c>
    </row>
    <row r="260">
      <c r="A260" t="inlineStr">
        <is>
          <t>Yusuf 2, Khadra</t>
        </is>
      </c>
      <c r="B260" s="3" t="n">
        <v>46008</v>
      </c>
      <c r="C260" t="inlineStr">
        <is>
          <t>01:00 PM - 06:00 PM</t>
        </is>
      </c>
      <c r="D260" t="inlineStr">
        <is>
          <t>05:00</t>
        </is>
      </c>
      <c r="E260">
        <f>HOUR(D260)+MINUTE(D260)/100</f>
        <v/>
      </c>
      <c r="F260">
        <f>ROUND(INT(E260) + (E260 - INT(E260)) * 100 / 60, 2)</f>
        <v/>
      </c>
      <c r="G260">
        <f>E260*4</f>
        <v/>
      </c>
      <c r="H260">
        <f>LET(total, INT(E260)*60 + (E260-INT(E260))*100, blocks, QUOTIENT(total, 15), extra, MOD(total, 15), units, blocks + IF(extra&gt;=8, 1, 0), units)</f>
        <v/>
      </c>
      <c r="J260">
        <f>IF(L260="Level 1", VLOOKUP(I260, UserCodes!E:F, 2, FALSE) * H260, IF(L260="Level 2", VLOOKUP(I260, UserCodes!E:F, 2, FALSE) * H260 * 0.8, 0))</f>
        <v/>
      </c>
      <c r="K260" t="inlineStr">
        <is>
          <t>Hashi, Ridwan</t>
        </is>
      </c>
      <c r="L260">
        <f>VLOOKUP(K260, UserCodes!A:B, 2, FALSE)</f>
        <v/>
      </c>
    </row>
    <row r="261">
      <c r="A261" t="inlineStr">
        <is>
          <t>Yusuf 2, Khadra</t>
        </is>
      </c>
      <c r="B261" s="3" t="n">
        <v>46007</v>
      </c>
      <c r="C261" t="inlineStr">
        <is>
          <t>01:00 PM - 03:30 PM</t>
        </is>
      </c>
      <c r="D261" t="inlineStr">
        <is>
          <t>02:30</t>
        </is>
      </c>
      <c r="E261">
        <f>HOUR(D261)+MINUTE(D261)/100</f>
        <v/>
      </c>
      <c r="F261">
        <f>ROUND(INT(E261) + (E261 - INT(E261)) * 100 / 60, 2)</f>
        <v/>
      </c>
      <c r="G261">
        <f>E261*4</f>
        <v/>
      </c>
      <c r="H261">
        <f>LET(total, INT(E261)*60 + (E261-INT(E261))*100, blocks, QUOTIENT(total, 15), extra, MOD(total, 15), units, blocks + IF(extra&gt;=8, 1, 0), units)</f>
        <v/>
      </c>
      <c r="J261">
        <f>IF(L261="Level 1", VLOOKUP(I261, UserCodes!E:F, 2, FALSE) * H261, IF(L261="Level 2", VLOOKUP(I261, UserCodes!E:F, 2, FALSE) * H261 * 0.8, 0))</f>
        <v/>
      </c>
      <c r="K261" t="inlineStr">
        <is>
          <t>Muse, Aaliya</t>
        </is>
      </c>
      <c r="L261">
        <f>VLOOKUP(K261, UserCodes!A:B, 2, FALSE)</f>
        <v/>
      </c>
    </row>
    <row r="262">
      <c r="A262" t="inlineStr">
        <is>
          <t>Yusuf 2, Khadra</t>
        </is>
      </c>
      <c r="B262" s="3" t="n">
        <v>46007</v>
      </c>
      <c r="C262" t="inlineStr">
        <is>
          <t>01:00 PM - 06:00 PM</t>
        </is>
      </c>
      <c r="D262" t="inlineStr">
        <is>
          <t>05:00</t>
        </is>
      </c>
      <c r="E262">
        <f>HOUR(D262)+MINUTE(D262)/100</f>
        <v/>
      </c>
      <c r="F262">
        <f>ROUND(INT(E262) + (E262 - INT(E262)) * 100 / 60, 2)</f>
        <v/>
      </c>
      <c r="G262">
        <f>E262*4</f>
        <v/>
      </c>
      <c r="H262">
        <f>LET(total, INT(E262)*60 + (E262-INT(E262))*100, blocks, QUOTIENT(total, 15), extra, MOD(total, 15), units, blocks + IF(extra&gt;=8, 1, 0), units)</f>
        <v/>
      </c>
      <c r="J262">
        <f>IF(L262="Level 1", VLOOKUP(I262, UserCodes!E:F, 2, FALSE) * H262, IF(L262="Level 2", VLOOKUP(I262, UserCodes!E:F, 2, FALSE) * H262 * 0.8, 0))</f>
        <v/>
      </c>
      <c r="K262" t="inlineStr">
        <is>
          <t>Ali, Naima</t>
        </is>
      </c>
      <c r="L262">
        <f>VLOOKUP(K262, UserCodes!A:B, 2, FALSE)</f>
        <v/>
      </c>
    </row>
    <row r="263">
      <c r="A263" t="inlineStr">
        <is>
          <t>Yusuf 2, Khadra</t>
        </is>
      </c>
      <c r="B263" s="3" t="n">
        <v>46007</v>
      </c>
      <c r="C263" t="inlineStr">
        <is>
          <t>10:00 AM - 12:30 PM</t>
        </is>
      </c>
      <c r="D263" t="inlineStr">
        <is>
          <t>02:30</t>
        </is>
      </c>
      <c r="E263">
        <f>HOUR(D263)+MINUTE(D263)/100</f>
        <v/>
      </c>
      <c r="F263">
        <f>ROUND(INT(E263) + (E263 - INT(E263)) * 100 / 60, 2)</f>
        <v/>
      </c>
      <c r="G263">
        <f>E263*4</f>
        <v/>
      </c>
      <c r="H263">
        <f>LET(total, INT(E263)*60 + (E263-INT(E263))*100, blocks, QUOTIENT(total, 15), extra, MOD(total, 15), units, blocks + IF(extra&gt;=8, 1, 0), units)</f>
        <v/>
      </c>
      <c r="J263">
        <f>IF(L263="Level 1", VLOOKUP(I263, UserCodes!E:F, 2, FALSE) * H263, IF(L263="Level 2", VLOOKUP(I263, UserCodes!E:F, 2, FALSE) * H263 * 0.8, 0))</f>
        <v/>
      </c>
      <c r="K263" t="inlineStr">
        <is>
          <t>Ahmed, Jama</t>
        </is>
      </c>
      <c r="L263">
        <f>VLOOKUP(K263, UserCodes!A:B, 2, FALSE)</f>
        <v/>
      </c>
    </row>
    <row r="264">
      <c r="A264" t="inlineStr">
        <is>
          <t>Yusuf 2, Khadra</t>
        </is>
      </c>
      <c r="B264" s="3" t="n">
        <v>46006</v>
      </c>
      <c r="C264" t="inlineStr">
        <is>
          <t>01:00 PM - 06:15 PM</t>
        </is>
      </c>
      <c r="D264" t="inlineStr">
        <is>
          <t>05:15</t>
        </is>
      </c>
      <c r="E264">
        <f>HOUR(D264)+MINUTE(D264)/100</f>
        <v/>
      </c>
      <c r="F264">
        <f>ROUND(INT(E264) + (E264 - INT(E264)) * 100 / 60, 2)</f>
        <v/>
      </c>
      <c r="G264">
        <f>E264*4</f>
        <v/>
      </c>
      <c r="H264">
        <f>LET(total, INT(E264)*60 + (E264-INT(E264))*100, blocks, QUOTIENT(total, 15), extra, MOD(total, 15), units, blocks + IF(extra&gt;=8, 1, 0), units)</f>
        <v/>
      </c>
      <c r="J264">
        <f>IF(L264="Level 1", VLOOKUP(I264, UserCodes!E:F, 2, FALSE) * H264, IF(L264="Level 2", VLOOKUP(I264, UserCodes!E:F, 2, FALSE) * H264 * 0.8, 0))</f>
        <v/>
      </c>
      <c r="K264" t="inlineStr">
        <is>
          <t>Noor, Kamilo</t>
        </is>
      </c>
      <c r="L264">
        <f>VLOOKUP(K264, UserCodes!A:B, 2, FALSE)</f>
        <v/>
      </c>
    </row>
    <row r="265">
      <c r="A265" t="inlineStr">
        <is>
          <t>Yusuf 2, Khadra</t>
        </is>
      </c>
      <c r="B265" s="3" t="n">
        <v>46006</v>
      </c>
      <c r="C265" t="inlineStr">
        <is>
          <t>12:55 PM - 03:30 PM</t>
        </is>
      </c>
      <c r="D265" t="inlineStr">
        <is>
          <t>02:35</t>
        </is>
      </c>
      <c r="E265">
        <f>HOUR(D265)+MINUTE(D265)/100</f>
        <v/>
      </c>
      <c r="F265">
        <f>ROUND(INT(E265) + (E265 - INT(E265)) * 100 / 60, 2)</f>
        <v/>
      </c>
      <c r="G265">
        <f>E265*4</f>
        <v/>
      </c>
      <c r="H265">
        <f>LET(total, INT(E265)*60 + (E265-INT(E265))*100, blocks, QUOTIENT(total, 15), extra, MOD(total, 15), units, blocks + IF(extra&gt;=8, 1, 0), units)</f>
        <v/>
      </c>
      <c r="J265">
        <f>IF(L265="Level 1", VLOOKUP(I265, UserCodes!E:F, 2, FALSE) * H265, IF(L265="Level 2", VLOOKUP(I265, UserCodes!E:F, 2, FALSE) * H265 * 0.8, 0))</f>
        <v/>
      </c>
      <c r="K265" t="inlineStr">
        <is>
          <t>Ahmed, Jama</t>
        </is>
      </c>
      <c r="L265">
        <f>VLOOKUP(K265, UserCodes!A:B, 2, FALSE)</f>
        <v/>
      </c>
    </row>
    <row r="266">
      <c r="A266" t="inlineStr">
        <is>
          <t>Yusuf 2, Khadra</t>
        </is>
      </c>
      <c r="B266" s="3" t="n">
        <v>46004</v>
      </c>
      <c r="C266" t="inlineStr">
        <is>
          <t>09:15 AM - 05:00 PM</t>
        </is>
      </c>
      <c r="D266" t="inlineStr">
        <is>
          <t>07:45</t>
        </is>
      </c>
      <c r="E266">
        <f>HOUR(D266)+MINUTE(D266)/100</f>
        <v/>
      </c>
      <c r="F266">
        <f>ROUND(INT(E266) + (E266 - INT(E266)) * 100 / 60, 2)</f>
        <v/>
      </c>
      <c r="G266">
        <f>E266*4</f>
        <v/>
      </c>
      <c r="H266">
        <f>LET(total, INT(E266)*60 + (E266-INT(E266))*100, blocks, QUOTIENT(total, 15), extra, MOD(total, 15), units, blocks + IF(extra&gt;=8, 1, 0), units)</f>
        <v/>
      </c>
      <c r="J266">
        <f>IF(L266="Level 1", VLOOKUP(I266, UserCodes!E:F, 2, FALSE) * H266, IF(L266="Level 2", VLOOKUP(I266, UserCodes!E:F, 2, FALSE) * H266 * 0.8, 0))</f>
        <v/>
      </c>
      <c r="K266" t="inlineStr">
        <is>
          <t>Ran, Sameya</t>
        </is>
      </c>
      <c r="L266">
        <f>VLOOKUP(K266, UserCodes!A:B, 2, FALSE)</f>
        <v/>
      </c>
    </row>
    <row r="267">
      <c r="A267" t="inlineStr">
        <is>
          <t>Yusuf 2, Khadra</t>
        </is>
      </c>
      <c r="B267" s="3" t="n">
        <v>46004</v>
      </c>
      <c r="C267" t="inlineStr">
        <is>
          <t>09:00 AM - 12:00 PM</t>
        </is>
      </c>
      <c r="D267" t="inlineStr">
        <is>
          <t>03:00</t>
        </is>
      </c>
      <c r="E267">
        <f>HOUR(D267)+MINUTE(D267)/100</f>
        <v/>
      </c>
      <c r="F267">
        <f>ROUND(INT(E267) + (E267 - INT(E267)) * 100 / 60, 2)</f>
        <v/>
      </c>
      <c r="G267">
        <f>E267*4</f>
        <v/>
      </c>
      <c r="H267">
        <f>LET(total, INT(E267)*60 + (E267-INT(E267))*100, blocks, QUOTIENT(total, 15), extra, MOD(total, 15), units, blocks + IF(extra&gt;=8, 1, 0), units)</f>
        <v/>
      </c>
      <c r="J267">
        <f>IF(L267="Level 1", VLOOKUP(I267, UserCodes!E:F, 2, FALSE) * H267, IF(L267="Level 2", VLOOKUP(I267, UserCodes!E:F, 2, FALSE) * H267 * 0.8, 0))</f>
        <v/>
      </c>
      <c r="K267" t="inlineStr">
        <is>
          <t>Muse, Ayni</t>
        </is>
      </c>
      <c r="L267">
        <f>VLOOKUP(K267, UserCodes!A:B, 2, FALSE)</f>
        <v/>
      </c>
    </row>
    <row r="268">
      <c r="A268" t="inlineStr">
        <is>
          <t>Yusuf 2, Khadra</t>
        </is>
      </c>
      <c r="B268" s="3" t="n">
        <v>46003</v>
      </c>
      <c r="C268" t="inlineStr">
        <is>
          <t>01:00 PM - 06:00 PM</t>
        </is>
      </c>
      <c r="D268" t="inlineStr">
        <is>
          <t>05:00</t>
        </is>
      </c>
      <c r="E268">
        <f>HOUR(D268)+MINUTE(D268)/100</f>
        <v/>
      </c>
      <c r="F268">
        <f>ROUND(INT(E268) + (E268 - INT(E268)) * 100 / 60, 2)</f>
        <v/>
      </c>
      <c r="G268">
        <f>E268*4</f>
        <v/>
      </c>
      <c r="H268">
        <f>LET(total, INT(E268)*60 + (E268-INT(E268))*100, blocks, QUOTIENT(total, 15), extra, MOD(total, 15), units, blocks + IF(extra&gt;=8, 1, 0), units)</f>
        <v/>
      </c>
      <c r="J268">
        <f>IF(L268="Level 1", VLOOKUP(I268, UserCodes!E:F, 2, FALSE) * H268, IF(L268="Level 2", VLOOKUP(I268, UserCodes!E:F, 2, FALSE) * H268 * 0.8, 0))</f>
        <v/>
      </c>
      <c r="K268" t="inlineStr">
        <is>
          <t>Ali, Naima</t>
        </is>
      </c>
      <c r="L268">
        <f>VLOOKUP(K268, UserCodes!A:B, 2, FALSE)</f>
        <v/>
      </c>
    </row>
    <row r="269">
      <c r="A269" t="inlineStr">
        <is>
          <t>Yusuf 2, Khadra</t>
        </is>
      </c>
      <c r="B269" s="3" t="n">
        <v>46002</v>
      </c>
      <c r="C269" t="inlineStr">
        <is>
          <t>01:00 PM - 03:00 PM</t>
        </is>
      </c>
      <c r="D269" t="inlineStr">
        <is>
          <t>02:00</t>
        </is>
      </c>
      <c r="E269">
        <f>HOUR(D269)+MINUTE(D269)/100</f>
        <v/>
      </c>
      <c r="F269">
        <f>ROUND(INT(E269) + (E269 - INT(E269)) * 100 / 60, 2)</f>
        <v/>
      </c>
      <c r="G269">
        <f>E269*4</f>
        <v/>
      </c>
      <c r="H269">
        <f>LET(total, INT(E269)*60 + (E269-INT(E269))*100, blocks, QUOTIENT(total, 15), extra, MOD(total, 15), units, blocks + IF(extra&gt;=8, 1, 0), units)</f>
        <v/>
      </c>
      <c r="J269">
        <f>IF(L269="Level 1", VLOOKUP(I269, UserCodes!E:F, 2, FALSE) * H269, IF(L269="Level 2", VLOOKUP(I269, UserCodes!E:F, 2, FALSE) * H269 * 0.8, 0))</f>
        <v/>
      </c>
      <c r="K269" t="inlineStr">
        <is>
          <t>Muse, Ayni</t>
        </is>
      </c>
      <c r="L269">
        <f>VLOOKUP(K269, UserCodes!A:B, 2, FALSE)</f>
        <v/>
      </c>
    </row>
    <row r="270">
      <c r="A270" t="inlineStr">
        <is>
          <t>Yusuf 2, Khadra</t>
        </is>
      </c>
      <c r="B270" s="3" t="n">
        <v>46002</v>
      </c>
      <c r="C270" t="inlineStr">
        <is>
          <t>01:00 PM - 06:00 PM</t>
        </is>
      </c>
      <c r="D270" t="inlineStr">
        <is>
          <t>05:00</t>
        </is>
      </c>
      <c r="E270">
        <f>HOUR(D270)+MINUTE(D270)/100</f>
        <v/>
      </c>
      <c r="F270">
        <f>ROUND(INT(E270) + (E270 - INT(E270)) * 100 / 60, 2)</f>
        <v/>
      </c>
      <c r="G270">
        <f>E270*4</f>
        <v/>
      </c>
      <c r="H270">
        <f>LET(total, INT(E270)*60 + (E270-INT(E270))*100, blocks, QUOTIENT(total, 15), extra, MOD(total, 15), units, blocks + IF(extra&gt;=8, 1, 0), units)</f>
        <v/>
      </c>
      <c r="J270">
        <f>IF(L270="Level 1", VLOOKUP(I270, UserCodes!E:F, 2, FALSE) * H270, IF(L270="Level 2", VLOOKUP(I270, UserCodes!E:F, 2, FALSE) * H270 * 0.8, 0))</f>
        <v/>
      </c>
      <c r="K270" t="inlineStr">
        <is>
          <t>Hashi, Ridwan</t>
        </is>
      </c>
      <c r="L270">
        <f>VLOOKUP(K270, UserCodes!A:B, 2, FALSE)</f>
        <v/>
      </c>
    </row>
    <row r="271">
      <c r="A271" t="inlineStr">
        <is>
          <t>Yusuf 2, Khadra</t>
        </is>
      </c>
      <c r="B271" s="3" t="n">
        <v>46001</v>
      </c>
      <c r="C271" t="inlineStr">
        <is>
          <t>01:00 PM - 05:30 PM</t>
        </is>
      </c>
      <c r="D271" t="inlineStr">
        <is>
          <t>04:30</t>
        </is>
      </c>
      <c r="E271">
        <f>HOUR(D271)+MINUTE(D271)/100</f>
        <v/>
      </c>
      <c r="F271">
        <f>ROUND(INT(E271) + (E271 - INT(E271)) * 100 / 60, 2)</f>
        <v/>
      </c>
      <c r="G271">
        <f>E271*4</f>
        <v/>
      </c>
      <c r="H271">
        <f>LET(total, INT(E271)*60 + (E271-INT(E271))*100, blocks, QUOTIENT(total, 15), extra, MOD(total, 15), units, blocks + IF(extra&gt;=8, 1, 0), units)</f>
        <v/>
      </c>
      <c r="J271">
        <f>IF(L271="Level 1", VLOOKUP(I271, UserCodes!E:F, 2, FALSE) * H271, IF(L271="Level 2", VLOOKUP(I271, UserCodes!E:F, 2, FALSE) * H271 * 0.8, 0))</f>
        <v/>
      </c>
      <c r="K271" t="inlineStr">
        <is>
          <t>Noor, Kamilo</t>
        </is>
      </c>
      <c r="L271">
        <f>VLOOKUP(K271, UserCodes!A:B, 2, FALSE)</f>
        <v/>
      </c>
    </row>
    <row r="272">
      <c r="A272" t="inlineStr">
        <is>
          <t>Yusuf, Khadija</t>
        </is>
      </c>
      <c r="B272" s="3" t="n">
        <v>46014</v>
      </c>
      <c r="C272" t="inlineStr">
        <is>
          <t>01:00 PM - 06:00 PM</t>
        </is>
      </c>
      <c r="D272" t="inlineStr">
        <is>
          <t>05:00</t>
        </is>
      </c>
      <c r="E272">
        <f>HOUR(D272)+MINUTE(D272)/100</f>
        <v/>
      </c>
      <c r="F272">
        <f>ROUND(INT(E272) + (E272 - INT(E272)) * 100 / 60, 2)</f>
        <v/>
      </c>
      <c r="G272">
        <f>E272*4</f>
        <v/>
      </c>
      <c r="H272">
        <f>LET(total, INT(E272)*60 + (E272-INT(E272))*100, blocks, QUOTIENT(total, 15), extra, MOD(total, 15), units, blocks + IF(extra&gt;=8, 1, 0), units)</f>
        <v/>
      </c>
      <c r="J272">
        <f>IF(L272="Level 1", VLOOKUP(I272, UserCodes!E:F, 2, FALSE) * H272, IF(L272="Level 2", VLOOKUP(I272, UserCodes!E:F, 2, FALSE) * H272 * 0.8, 0))</f>
        <v/>
      </c>
      <c r="K272" t="inlineStr">
        <is>
          <t>Muse, Adna</t>
        </is>
      </c>
      <c r="L272">
        <f>VLOOKUP(K272, UserCodes!A:B, 2, FALSE)</f>
        <v/>
      </c>
    </row>
    <row r="273">
      <c r="A273" t="inlineStr">
        <is>
          <t>Yusuf, Khadija</t>
        </is>
      </c>
      <c r="B273" s="3" t="n">
        <v>46014</v>
      </c>
      <c r="C273" t="inlineStr">
        <is>
          <t>12:30 PM - 01:00 PM</t>
        </is>
      </c>
      <c r="D273" t="inlineStr">
        <is>
          <t>00:30</t>
        </is>
      </c>
      <c r="E273">
        <f>HOUR(D273)+MINUTE(D273)/100</f>
        <v/>
      </c>
      <c r="F273">
        <f>ROUND(INT(E273) + (E273 - INT(E273)) * 100 / 60, 2)</f>
        <v/>
      </c>
      <c r="G273">
        <f>E273*4</f>
        <v/>
      </c>
      <c r="H273">
        <f>LET(total, INT(E273)*60 + (E273-INT(E273))*100, blocks, QUOTIENT(total, 15), extra, MOD(total, 15), units, blocks + IF(extra&gt;=8, 1, 0), units)</f>
        <v/>
      </c>
      <c r="J273">
        <f>IF(L273="Level 1", VLOOKUP(I273, UserCodes!E:F, 2, FALSE) * H273, IF(L273="Level 2", VLOOKUP(I273, UserCodes!E:F, 2, FALSE) * H273 * 0.8, 0))</f>
        <v/>
      </c>
      <c r="K273" t="inlineStr">
        <is>
          <t>Noor, Kamilo</t>
        </is>
      </c>
      <c r="L273">
        <f>VLOOKUP(K273, UserCodes!A:B, 2, FALSE)</f>
        <v/>
      </c>
    </row>
    <row r="274">
      <c r="A274" t="inlineStr">
        <is>
          <t>Yusuf, Khadija</t>
        </is>
      </c>
      <c r="B274" s="3" t="n">
        <v>46014</v>
      </c>
      <c r="C274" t="inlineStr">
        <is>
          <t>10:00 AM - 12:30 PM</t>
        </is>
      </c>
      <c r="D274" t="inlineStr">
        <is>
          <t>02:30</t>
        </is>
      </c>
      <c r="E274">
        <f>HOUR(D274)+MINUTE(D274)/100</f>
        <v/>
      </c>
      <c r="F274">
        <f>ROUND(INT(E274) + (E274 - INT(E274)) * 100 / 60, 2)</f>
        <v/>
      </c>
      <c r="G274">
        <f>E274*4</f>
        <v/>
      </c>
      <c r="H274">
        <f>LET(total, INT(E274)*60 + (E274-INT(E274))*100, blocks, QUOTIENT(total, 15), extra, MOD(total, 15), units, blocks + IF(extra&gt;=8, 1, 0), units)</f>
        <v/>
      </c>
      <c r="J274">
        <f>IF(L274="Level 1", VLOOKUP(I274, UserCodes!E:F, 2, FALSE) * H274, IF(L274="Level 2", VLOOKUP(I274, UserCodes!E:F, 2, FALSE) * H274 * 0.8, 0))</f>
        <v/>
      </c>
      <c r="K274" t="inlineStr">
        <is>
          <t>Muse, Adna</t>
        </is>
      </c>
      <c r="L274">
        <f>VLOOKUP(K274, UserCodes!A:B, 2, FALSE)</f>
        <v/>
      </c>
    </row>
    <row r="275">
      <c r="A275" t="inlineStr">
        <is>
          <t>Yusuf, Khadija</t>
        </is>
      </c>
      <c r="B275" s="3" t="n">
        <v>46014</v>
      </c>
      <c r="C275" t="inlineStr">
        <is>
          <t>10:00 AM - 12:30 PM</t>
        </is>
      </c>
      <c r="D275" t="inlineStr">
        <is>
          <t>02:30</t>
        </is>
      </c>
      <c r="E275">
        <f>HOUR(D275)+MINUTE(D275)/100</f>
        <v/>
      </c>
      <c r="F275">
        <f>ROUND(INT(E275) + (E275 - INT(E275)) * 100 / 60, 2)</f>
        <v/>
      </c>
      <c r="G275">
        <f>E275*4</f>
        <v/>
      </c>
      <c r="H275">
        <f>LET(total, INT(E275)*60 + (E275-INT(E275))*100, blocks, QUOTIENT(total, 15), extra, MOD(total, 15), units, blocks + IF(extra&gt;=8, 1, 0), units)</f>
        <v/>
      </c>
      <c r="J275">
        <f>IF(L275="Level 1", VLOOKUP(I275, UserCodes!E:F, 2, FALSE) * H275, IF(L275="Level 2", VLOOKUP(I275, UserCodes!E:F, 2, FALSE) * H275 * 0.8, 0))</f>
        <v/>
      </c>
      <c r="K275" t="inlineStr">
        <is>
          <t>Noor, Kamilo</t>
        </is>
      </c>
      <c r="L275">
        <f>VLOOKUP(K275, UserCodes!A:B, 2, FALSE)</f>
        <v/>
      </c>
    </row>
    <row r="276">
      <c r="A276" t="inlineStr">
        <is>
          <t>Yusuf, Khadija</t>
        </is>
      </c>
      <c r="B276" s="3" t="n">
        <v>46013</v>
      </c>
      <c r="C276" t="inlineStr">
        <is>
          <t>01:30 PM - 08:00 PM</t>
        </is>
      </c>
      <c r="D276" t="inlineStr">
        <is>
          <t>06:30</t>
        </is>
      </c>
      <c r="E276">
        <f>HOUR(D276)+MINUTE(D276)/100</f>
        <v/>
      </c>
      <c r="F276">
        <f>ROUND(INT(E276) + (E276 - INT(E276)) * 100 / 60, 2)</f>
        <v/>
      </c>
      <c r="G276">
        <f>E276*4</f>
        <v/>
      </c>
      <c r="H276">
        <f>LET(total, INT(E276)*60 + (E276-INT(E276))*100, blocks, QUOTIENT(total, 15), extra, MOD(total, 15), units, blocks + IF(extra&gt;=8, 1, 0), units)</f>
        <v/>
      </c>
      <c r="J276">
        <f>IF(L276="Level 1", VLOOKUP(I276, UserCodes!E:F, 2, FALSE) * H276, IF(L276="Level 2", VLOOKUP(I276, UserCodes!E:F, 2, FALSE) * H276 * 0.8, 0))</f>
        <v/>
      </c>
      <c r="K276" t="inlineStr">
        <is>
          <t>Muse, Ayni</t>
        </is>
      </c>
      <c r="L276">
        <f>VLOOKUP(K276, UserCodes!A:B, 2, FALSE)</f>
        <v/>
      </c>
    </row>
    <row r="277">
      <c r="A277" t="inlineStr">
        <is>
          <t>Yusuf, Khadija</t>
        </is>
      </c>
      <c r="B277" s="3" t="n">
        <v>46011</v>
      </c>
      <c r="C277" t="inlineStr">
        <is>
          <t>12:30 PM - 05:00 PM</t>
        </is>
      </c>
      <c r="D277" t="inlineStr">
        <is>
          <t>04:30</t>
        </is>
      </c>
      <c r="E277">
        <f>HOUR(D277)+MINUTE(D277)/100</f>
        <v/>
      </c>
      <c r="F277">
        <f>ROUND(INT(E277) + (E277 - INT(E277)) * 100 / 60, 2)</f>
        <v/>
      </c>
      <c r="G277">
        <f>E277*4</f>
        <v/>
      </c>
      <c r="H277">
        <f>LET(total, INT(E277)*60 + (E277-INT(E277))*100, blocks, QUOTIENT(total, 15), extra, MOD(total, 15), units, blocks + IF(extra&gt;=8, 1, 0), units)</f>
        <v/>
      </c>
      <c r="J277">
        <f>IF(L277="Level 1", VLOOKUP(I277, UserCodes!E:F, 2, FALSE) * H277, IF(L277="Level 2", VLOOKUP(I277, UserCodes!E:F, 2, FALSE) * H277 * 0.8, 0))</f>
        <v/>
      </c>
      <c r="K277" t="inlineStr">
        <is>
          <t>Muse, Ayni</t>
        </is>
      </c>
      <c r="L277">
        <f>VLOOKUP(K277, UserCodes!A:B, 2, FALSE)</f>
        <v/>
      </c>
    </row>
    <row r="278">
      <c r="A278" t="inlineStr">
        <is>
          <t>Yusuf, Khadija</t>
        </is>
      </c>
      <c r="B278" s="3" t="n">
        <v>46011</v>
      </c>
      <c r="C278" t="inlineStr">
        <is>
          <t>09:30 AM - 11:30 AM</t>
        </is>
      </c>
      <c r="D278" t="inlineStr">
        <is>
          <t>02:00</t>
        </is>
      </c>
      <c r="E278">
        <f>HOUR(D278)+MINUTE(D278)/100</f>
        <v/>
      </c>
      <c r="F278">
        <f>ROUND(INT(E278) + (E278 - INT(E278)) * 100 / 60, 2)</f>
        <v/>
      </c>
      <c r="G278">
        <f>E278*4</f>
        <v/>
      </c>
      <c r="H278">
        <f>LET(total, INT(E278)*60 + (E278-INT(E278))*100, blocks, QUOTIENT(total, 15), extra, MOD(total, 15), units, blocks + IF(extra&gt;=8, 1, 0), units)</f>
        <v/>
      </c>
      <c r="J278">
        <f>IF(L278="Level 1", VLOOKUP(I278, UserCodes!E:F, 2, FALSE) * H278, IF(L278="Level 2", VLOOKUP(I278, UserCodes!E:F, 2, FALSE) * H278 * 0.8, 0))</f>
        <v/>
      </c>
      <c r="K278" t="inlineStr">
        <is>
          <t>Ahmed, Jama</t>
        </is>
      </c>
      <c r="L278">
        <f>VLOOKUP(K278, UserCodes!A:B, 2, FALSE)</f>
        <v/>
      </c>
    </row>
    <row r="279">
      <c r="A279" t="inlineStr">
        <is>
          <t>Yusuf, Khadija</t>
        </is>
      </c>
      <c r="B279" s="3" t="n">
        <v>46011</v>
      </c>
      <c r="C279" t="inlineStr">
        <is>
          <t>09:00 AM - 12:00 PM</t>
        </is>
      </c>
      <c r="D279" t="inlineStr">
        <is>
          <t>03:00</t>
        </is>
      </c>
      <c r="E279">
        <f>HOUR(D279)+MINUTE(D279)/100</f>
        <v/>
      </c>
      <c r="F279">
        <f>ROUND(INT(E279) + (E279 - INT(E279)) * 100 / 60, 2)</f>
        <v/>
      </c>
      <c r="G279">
        <f>E279*4</f>
        <v/>
      </c>
      <c r="H279">
        <f>LET(total, INT(E279)*60 + (E279-INT(E279))*100, blocks, QUOTIENT(total, 15), extra, MOD(total, 15), units, blocks + IF(extra&gt;=8, 1, 0), units)</f>
        <v/>
      </c>
      <c r="J279">
        <f>IF(L279="Level 1", VLOOKUP(I279, UserCodes!E:F, 2, FALSE) * H279, IF(L279="Level 2", VLOOKUP(I279, UserCodes!E:F, 2, FALSE) * H279 * 0.8, 0))</f>
        <v/>
      </c>
      <c r="K279" t="inlineStr">
        <is>
          <t>Muse, Ayni</t>
        </is>
      </c>
      <c r="L279">
        <f>VLOOKUP(K279, UserCodes!A:B, 2, FALSE)</f>
        <v/>
      </c>
    </row>
    <row r="280">
      <c r="A280" t="inlineStr">
        <is>
          <t>Yusuf, Khadija</t>
        </is>
      </c>
      <c r="B280" s="3" t="n">
        <v>46011</v>
      </c>
      <c r="C280" t="inlineStr">
        <is>
          <t>09:00 AM - 12:00 PM</t>
        </is>
      </c>
      <c r="D280" t="inlineStr">
        <is>
          <t>03:00</t>
        </is>
      </c>
      <c r="E280">
        <f>HOUR(D280)+MINUTE(D280)/100</f>
        <v/>
      </c>
      <c r="F280">
        <f>ROUND(INT(E280) + (E280 - INT(E280)) * 100 / 60, 2)</f>
        <v/>
      </c>
      <c r="G280">
        <f>E280*4</f>
        <v/>
      </c>
      <c r="H280">
        <f>LET(total, INT(E280)*60 + (E280-INT(E280))*100, blocks, QUOTIENT(total, 15), extra, MOD(total, 15), units, blocks + IF(extra&gt;=8, 1, 0), units)</f>
        <v/>
      </c>
      <c r="J280">
        <f>IF(L280="Level 1", VLOOKUP(I280, UserCodes!E:F, 2, FALSE) * H280, IF(L280="Level 2", VLOOKUP(I280, UserCodes!E:F, 2, FALSE) * H280 * 0.8, 0))</f>
        <v/>
      </c>
      <c r="K280" t="inlineStr">
        <is>
          <t>Muse, Adna</t>
        </is>
      </c>
      <c r="L280">
        <f>VLOOKUP(K280, UserCodes!A:B, 2, FALSE)</f>
        <v/>
      </c>
    </row>
    <row r="281">
      <c r="A281" t="inlineStr">
        <is>
          <t>Yusuf, Khadija</t>
        </is>
      </c>
      <c r="B281" s="3" t="n">
        <v>46010</v>
      </c>
      <c r="C281" t="inlineStr">
        <is>
          <t>02:30 PM - 04:00 PM</t>
        </is>
      </c>
      <c r="D281" t="inlineStr">
        <is>
          <t>01:30</t>
        </is>
      </c>
      <c r="E281">
        <f>HOUR(D281)+MINUTE(D281)/100</f>
        <v/>
      </c>
      <c r="F281">
        <f>ROUND(INT(E281) + (E281 - INT(E281)) * 100 / 60, 2)</f>
        <v/>
      </c>
      <c r="G281">
        <f>E281*4</f>
        <v/>
      </c>
      <c r="H281">
        <f>LET(total, INT(E281)*60 + (E281-INT(E281))*100, blocks, QUOTIENT(total, 15), extra, MOD(total, 15), units, blocks + IF(extra&gt;=8, 1, 0), units)</f>
        <v/>
      </c>
      <c r="J281">
        <f>IF(L281="Level 1", VLOOKUP(I281, UserCodes!E:F, 2, FALSE) * H281, IF(L281="Level 2", VLOOKUP(I281, UserCodes!E:F, 2, FALSE) * H281 * 0.8, 0))</f>
        <v/>
      </c>
      <c r="K281" t="inlineStr">
        <is>
          <t>Muse, Ayni</t>
        </is>
      </c>
      <c r="L281">
        <f>VLOOKUP(K281, UserCodes!A:B, 2, FALSE)</f>
        <v/>
      </c>
    </row>
    <row r="282">
      <c r="A282" t="inlineStr">
        <is>
          <t>Yusuf, Khadija</t>
        </is>
      </c>
      <c r="B282" s="3" t="n">
        <v>46010</v>
      </c>
      <c r="C282" t="inlineStr">
        <is>
          <t>02:30 PM - 06:00 PM</t>
        </is>
      </c>
      <c r="D282" t="inlineStr">
        <is>
          <t>03:30</t>
        </is>
      </c>
      <c r="E282">
        <f>HOUR(D282)+MINUTE(D282)/100</f>
        <v/>
      </c>
      <c r="F282">
        <f>ROUND(INT(E282) + (E282 - INT(E282)) * 100 / 60, 2)</f>
        <v/>
      </c>
      <c r="G282">
        <f>E282*4</f>
        <v/>
      </c>
      <c r="H282">
        <f>LET(total, INT(E282)*60 + (E282-INT(E282))*100, blocks, QUOTIENT(total, 15), extra, MOD(total, 15), units, blocks + IF(extra&gt;=8, 1, 0), units)</f>
        <v/>
      </c>
      <c r="J282">
        <f>IF(L282="Level 1", VLOOKUP(I282, UserCodes!E:F, 2, FALSE) * H282, IF(L282="Level 2", VLOOKUP(I282, UserCodes!E:F, 2, FALSE) * H282 * 0.8, 0))</f>
        <v/>
      </c>
      <c r="K282" t="inlineStr">
        <is>
          <t>Ran, Sameya</t>
        </is>
      </c>
      <c r="L282">
        <f>VLOOKUP(K282, UserCodes!A:B, 2, FALSE)</f>
        <v/>
      </c>
    </row>
    <row r="283">
      <c r="A283" t="inlineStr">
        <is>
          <t>Yusuf, Khadija</t>
        </is>
      </c>
      <c r="B283" s="3" t="n">
        <v>46010</v>
      </c>
      <c r="C283" t="inlineStr">
        <is>
          <t>01:00 PM - 02:30 PM</t>
        </is>
      </c>
      <c r="D283" t="inlineStr">
        <is>
          <t>01:30</t>
        </is>
      </c>
      <c r="E283">
        <f>HOUR(D283)+MINUTE(D283)/100</f>
        <v/>
      </c>
      <c r="F283">
        <f>ROUND(INT(E283) + (E283 - INT(E283)) * 100 / 60, 2)</f>
        <v/>
      </c>
      <c r="G283">
        <f>E283*4</f>
        <v/>
      </c>
      <c r="H283">
        <f>LET(total, INT(E283)*60 + (E283-INT(E283))*100, blocks, QUOTIENT(total, 15), extra, MOD(total, 15), units, blocks + IF(extra&gt;=8, 1, 0), units)</f>
        <v/>
      </c>
      <c r="J283">
        <f>IF(L283="Level 1", VLOOKUP(I283, UserCodes!E:F, 2, FALSE) * H283, IF(L283="Level 2", VLOOKUP(I283, UserCodes!E:F, 2, FALSE) * H283 * 0.8, 0))</f>
        <v/>
      </c>
      <c r="K283" t="inlineStr">
        <is>
          <t>Noor, Kamilo</t>
        </is>
      </c>
      <c r="L283">
        <f>VLOOKUP(K283, UserCodes!A:B, 2, FALSE)</f>
        <v/>
      </c>
    </row>
    <row r="284">
      <c r="A284" t="inlineStr">
        <is>
          <t>Yusuf, Khadija</t>
        </is>
      </c>
      <c r="B284" s="3" t="n">
        <v>46009</v>
      </c>
      <c r="C284" t="inlineStr">
        <is>
          <t>04:00 PM - 06:00 PM</t>
        </is>
      </c>
      <c r="D284" t="inlineStr">
        <is>
          <t>02:00</t>
        </is>
      </c>
      <c r="E284">
        <f>HOUR(D284)+MINUTE(D284)/100</f>
        <v/>
      </c>
      <c r="F284">
        <f>ROUND(INT(E284) + (E284 - INT(E284)) * 100 / 60, 2)</f>
        <v/>
      </c>
      <c r="G284">
        <f>E284*4</f>
        <v/>
      </c>
      <c r="H284">
        <f>LET(total, INT(E284)*60 + (E284-INT(E284))*100, blocks, QUOTIENT(total, 15), extra, MOD(total, 15), units, blocks + IF(extra&gt;=8, 1, 0), units)</f>
        <v/>
      </c>
      <c r="J284">
        <f>IF(L284="Level 1", VLOOKUP(I284, UserCodes!E:F, 2, FALSE) * H284, IF(L284="Level 2", VLOOKUP(I284, UserCodes!E:F, 2, FALSE) * H284 * 0.8, 0))</f>
        <v/>
      </c>
      <c r="K284" t="inlineStr">
        <is>
          <t>Noor, Kamilo</t>
        </is>
      </c>
      <c r="L284">
        <f>VLOOKUP(K284, UserCodes!A:B, 2, FALSE)</f>
        <v/>
      </c>
    </row>
    <row r="285">
      <c r="A285" t="inlineStr">
        <is>
          <t>Yusuf, Khadija</t>
        </is>
      </c>
      <c r="B285" s="3" t="n">
        <v>46009</v>
      </c>
      <c r="C285" t="inlineStr">
        <is>
          <t>01:00 PM - 04:00 PM</t>
        </is>
      </c>
      <c r="D285" t="inlineStr">
        <is>
          <t>03:00</t>
        </is>
      </c>
      <c r="E285">
        <f>HOUR(D285)+MINUTE(D285)/100</f>
        <v/>
      </c>
      <c r="F285">
        <f>ROUND(INT(E285) + (E285 - INT(E285)) * 100 / 60, 2)</f>
        <v/>
      </c>
      <c r="G285">
        <f>E285*4</f>
        <v/>
      </c>
      <c r="H285">
        <f>LET(total, INT(E285)*60 + (E285-INT(E285))*100, blocks, QUOTIENT(total, 15), extra, MOD(total, 15), units, blocks + IF(extra&gt;=8, 1, 0), units)</f>
        <v/>
      </c>
      <c r="J285">
        <f>IF(L285="Level 1", VLOOKUP(I285, UserCodes!E:F, 2, FALSE) * H285, IF(L285="Level 2", VLOOKUP(I285, UserCodes!E:F, 2, FALSE) * H285 * 0.8, 0))</f>
        <v/>
      </c>
      <c r="K285" t="inlineStr">
        <is>
          <t>Ali, Nasteho</t>
        </is>
      </c>
      <c r="L285">
        <f>VLOOKUP(K285, UserCodes!A:B, 2, FALSE)</f>
        <v/>
      </c>
    </row>
    <row r="286">
      <c r="A286" t="inlineStr">
        <is>
          <t>Yusuf, Khadija</t>
        </is>
      </c>
      <c r="B286" s="3" t="n">
        <v>46009</v>
      </c>
      <c r="C286" t="inlineStr">
        <is>
          <t>01:00 PM - 04:00 PM</t>
        </is>
      </c>
      <c r="D286" t="inlineStr">
        <is>
          <t>03:00</t>
        </is>
      </c>
      <c r="E286">
        <f>HOUR(D286)+MINUTE(D286)/100</f>
        <v/>
      </c>
      <c r="F286">
        <f>ROUND(INT(E286) + (E286 - INT(E286)) * 100 / 60, 2)</f>
        <v/>
      </c>
      <c r="G286">
        <f>E286*4</f>
        <v/>
      </c>
      <c r="H286">
        <f>LET(total, INT(E286)*60 + (E286-INT(E286))*100, blocks, QUOTIENT(total, 15), extra, MOD(total, 15), units, blocks + IF(extra&gt;=8, 1, 0), units)</f>
        <v/>
      </c>
      <c r="J286">
        <f>IF(L286="Level 1", VLOOKUP(I286, UserCodes!E:F, 2, FALSE) * H286, IF(L286="Level 2", VLOOKUP(I286, UserCodes!E:F, 2, FALSE) * H286 * 0.8, 0))</f>
        <v/>
      </c>
      <c r="K286" t="inlineStr">
        <is>
          <t>Noor, Kamilo</t>
        </is>
      </c>
      <c r="L286">
        <f>VLOOKUP(K286, UserCodes!A:B, 2, FALSE)</f>
        <v/>
      </c>
    </row>
    <row r="287">
      <c r="A287" t="inlineStr">
        <is>
          <t>Yusuf, Khadija</t>
        </is>
      </c>
      <c r="B287" s="3" t="n">
        <v>46008</v>
      </c>
      <c r="C287" t="inlineStr">
        <is>
          <t>02:00 PM - 05:00 PM</t>
        </is>
      </c>
      <c r="D287" t="inlineStr">
        <is>
          <t>03:00</t>
        </is>
      </c>
      <c r="E287">
        <f>HOUR(D287)+MINUTE(D287)/100</f>
        <v/>
      </c>
      <c r="F287">
        <f>ROUND(INT(E287) + (E287 - INT(E287)) * 100 / 60, 2)</f>
        <v/>
      </c>
      <c r="G287">
        <f>E287*4</f>
        <v/>
      </c>
      <c r="H287">
        <f>LET(total, INT(E287)*60 + (E287-INT(E287))*100, blocks, QUOTIENT(total, 15), extra, MOD(total, 15), units, blocks + IF(extra&gt;=8, 1, 0), units)</f>
        <v/>
      </c>
      <c r="J287">
        <f>IF(L287="Level 1", VLOOKUP(I287, UserCodes!E:F, 2, FALSE) * H287, IF(L287="Level 2", VLOOKUP(I287, UserCodes!E:F, 2, FALSE) * H287 * 0.8, 0))</f>
        <v/>
      </c>
      <c r="K287" t="inlineStr">
        <is>
          <t>Noor, Kamilo</t>
        </is>
      </c>
      <c r="L287">
        <f>VLOOKUP(K287, UserCodes!A:B, 2, FALSE)</f>
        <v/>
      </c>
    </row>
    <row r="288">
      <c r="A288" t="inlineStr">
        <is>
          <t>Yusuf, Khadija</t>
        </is>
      </c>
      <c r="B288" s="3" t="n">
        <v>46008</v>
      </c>
      <c r="C288" t="inlineStr">
        <is>
          <t>01:00 PM - 06:00 PM</t>
        </is>
      </c>
      <c r="D288" t="inlineStr">
        <is>
          <t>05:00</t>
        </is>
      </c>
      <c r="E288">
        <f>HOUR(D288)+MINUTE(D288)/100</f>
        <v/>
      </c>
      <c r="F288">
        <f>ROUND(INT(E288) + (E288 - INT(E288)) * 100 / 60, 2)</f>
        <v/>
      </c>
      <c r="G288">
        <f>E288*4</f>
        <v/>
      </c>
      <c r="H288">
        <f>LET(total, INT(E288)*60 + (E288-INT(E288))*100, blocks, QUOTIENT(total, 15), extra, MOD(total, 15), units, blocks + IF(extra&gt;=8, 1, 0), units)</f>
        <v/>
      </c>
      <c r="J288">
        <f>IF(L288="Level 1", VLOOKUP(I288, UserCodes!E:F, 2, FALSE) * H288, IF(L288="Level 2", VLOOKUP(I288, UserCodes!E:F, 2, FALSE) * H288 * 0.8, 0))</f>
        <v/>
      </c>
      <c r="K288" t="inlineStr">
        <is>
          <t>Ran, Sameya</t>
        </is>
      </c>
      <c r="L288">
        <f>VLOOKUP(K288, UserCodes!A:B, 2, FALSE)</f>
        <v/>
      </c>
    </row>
    <row r="289">
      <c r="A289" t="inlineStr">
        <is>
          <t>Yusuf, Khadija</t>
        </is>
      </c>
      <c r="B289" s="3" t="n">
        <v>46007</v>
      </c>
      <c r="C289" t="inlineStr">
        <is>
          <t>01:00 PM - 06:00 PM</t>
        </is>
      </c>
      <c r="D289" t="inlineStr">
        <is>
          <t>05:00</t>
        </is>
      </c>
      <c r="E289">
        <f>HOUR(D289)+MINUTE(D289)/100</f>
        <v/>
      </c>
      <c r="F289">
        <f>ROUND(INT(E289) + (E289 - INT(E289)) * 100 / 60, 2)</f>
        <v/>
      </c>
      <c r="G289">
        <f>E289*4</f>
        <v/>
      </c>
      <c r="H289">
        <f>LET(total, INT(E289)*60 + (E289-INT(E289))*100, blocks, QUOTIENT(total, 15), extra, MOD(total, 15), units, blocks + IF(extra&gt;=8, 1, 0), units)</f>
        <v/>
      </c>
      <c r="J289">
        <f>IF(L289="Level 1", VLOOKUP(I289, UserCodes!E:F, 2, FALSE) * H289, IF(L289="Level 2", VLOOKUP(I289, UserCodes!E:F, 2, FALSE) * H289 * 0.8, 0))</f>
        <v/>
      </c>
      <c r="K289" t="inlineStr">
        <is>
          <t>Hashi, Ridwan</t>
        </is>
      </c>
      <c r="L289">
        <f>VLOOKUP(K289, UserCodes!A:B, 2, FALSE)</f>
        <v/>
      </c>
    </row>
    <row r="290">
      <c r="A290" t="inlineStr">
        <is>
          <t>Yusuf, Khadija</t>
        </is>
      </c>
      <c r="B290" s="3" t="n">
        <v>46007</v>
      </c>
      <c r="C290" t="inlineStr">
        <is>
          <t>01:00 PM - 04:00 PM</t>
        </is>
      </c>
      <c r="D290" t="inlineStr">
        <is>
          <t>03:00</t>
        </is>
      </c>
      <c r="E290">
        <f>HOUR(D290)+MINUTE(D290)/100</f>
        <v/>
      </c>
      <c r="F290">
        <f>ROUND(INT(E290) + (E290 - INT(E290)) * 100 / 60, 2)</f>
        <v/>
      </c>
      <c r="G290">
        <f>E290*4</f>
        <v/>
      </c>
      <c r="H290">
        <f>LET(total, INT(E290)*60 + (E290-INT(E290))*100, blocks, QUOTIENT(total, 15), extra, MOD(total, 15), units, blocks + IF(extra&gt;=8, 1, 0), units)</f>
        <v/>
      </c>
      <c r="J290">
        <f>IF(L290="Level 1", VLOOKUP(I290, UserCodes!E:F, 2, FALSE) * H290, IF(L290="Level 2", VLOOKUP(I290, UserCodes!E:F, 2, FALSE) * H290 * 0.8, 0))</f>
        <v/>
      </c>
      <c r="K290" t="inlineStr">
        <is>
          <t>Noor, Kamilo</t>
        </is>
      </c>
      <c r="L290">
        <f>VLOOKUP(K290, UserCodes!A:B, 2, FALSE)</f>
        <v/>
      </c>
    </row>
    <row r="291">
      <c r="A291" t="inlineStr">
        <is>
          <t>Yusuf, Khadija</t>
        </is>
      </c>
      <c r="B291" s="3" t="n">
        <v>46006</v>
      </c>
      <c r="C291" t="inlineStr">
        <is>
          <t>01:00 PM - 04:00 PM</t>
        </is>
      </c>
      <c r="D291" t="inlineStr">
        <is>
          <t>03:00</t>
        </is>
      </c>
      <c r="E291">
        <f>HOUR(D291)+MINUTE(D291)/100</f>
        <v/>
      </c>
      <c r="F291">
        <f>ROUND(INT(E291) + (E291 - INT(E291)) * 100 / 60, 2)</f>
        <v/>
      </c>
      <c r="G291">
        <f>E291*4</f>
        <v/>
      </c>
      <c r="H291">
        <f>LET(total, INT(E291)*60 + (E291-INT(E291))*100, blocks, QUOTIENT(total, 15), extra, MOD(total, 15), units, blocks + IF(extra&gt;=8, 1, 0), units)</f>
        <v/>
      </c>
      <c r="J291">
        <f>IF(L291="Level 1", VLOOKUP(I291, UserCodes!E:F, 2, FALSE) * H291, IF(L291="Level 2", VLOOKUP(I291, UserCodes!E:F, 2, FALSE) * H291 * 0.8, 0))</f>
        <v/>
      </c>
      <c r="K291" t="inlineStr">
        <is>
          <t>Hawadle, Abdiaziz</t>
        </is>
      </c>
      <c r="L291">
        <f>VLOOKUP(K291, UserCodes!A:B, 2, FALSE)</f>
        <v/>
      </c>
    </row>
    <row r="292">
      <c r="A292" t="inlineStr">
        <is>
          <t>Yusuf, Khadija</t>
        </is>
      </c>
      <c r="B292" s="3" t="n">
        <v>46006</v>
      </c>
      <c r="C292" t="inlineStr">
        <is>
          <t>01:00 PM - 06:00 PM</t>
        </is>
      </c>
      <c r="D292" t="inlineStr">
        <is>
          <t>05:00</t>
        </is>
      </c>
      <c r="E292">
        <f>HOUR(D292)+MINUTE(D292)/100</f>
        <v/>
      </c>
      <c r="F292">
        <f>ROUND(INT(E292) + (E292 - INT(E292)) * 100 / 60, 2)</f>
        <v/>
      </c>
      <c r="G292">
        <f>E292*4</f>
        <v/>
      </c>
      <c r="H292">
        <f>LET(total, INT(E292)*60 + (E292-INT(E292))*100, blocks, QUOTIENT(total, 15), extra, MOD(total, 15), units, blocks + IF(extra&gt;=8, 1, 0), units)</f>
        <v/>
      </c>
      <c r="J292">
        <f>IF(L292="Level 1", VLOOKUP(I292, UserCodes!E:F, 2, FALSE) * H292, IF(L292="Level 2", VLOOKUP(I292, UserCodes!E:F, 2, FALSE) * H292 * 0.8, 0))</f>
        <v/>
      </c>
      <c r="K292" t="inlineStr">
        <is>
          <t>Ali, Naima</t>
        </is>
      </c>
      <c r="L292">
        <f>VLOOKUP(K292, UserCodes!A:B, 2, FALSE)</f>
        <v/>
      </c>
    </row>
    <row r="293">
      <c r="A293" t="inlineStr">
        <is>
          <t>Yusuf, Khadija</t>
        </is>
      </c>
      <c r="B293" s="3" t="n">
        <v>46006</v>
      </c>
      <c r="C293" t="inlineStr">
        <is>
          <t>10:00 AM - 12:00 PM</t>
        </is>
      </c>
      <c r="D293" t="inlineStr">
        <is>
          <t>02:00</t>
        </is>
      </c>
      <c r="E293">
        <f>HOUR(D293)+MINUTE(D293)/100</f>
        <v/>
      </c>
      <c r="F293">
        <f>ROUND(INT(E293) + (E293 - INT(E293)) * 100 / 60, 2)</f>
        <v/>
      </c>
      <c r="G293">
        <f>E293*4</f>
        <v/>
      </c>
      <c r="H293">
        <f>LET(total, INT(E293)*60 + (E293-INT(E293))*100, blocks, QUOTIENT(total, 15), extra, MOD(total, 15), units, blocks + IF(extra&gt;=8, 1, 0), units)</f>
        <v/>
      </c>
      <c r="J293">
        <f>IF(L293="Level 1", VLOOKUP(I293, UserCodes!E:F, 2, FALSE) * H293, IF(L293="Level 2", VLOOKUP(I293, UserCodes!E:F, 2, FALSE) * H293 * 0.8, 0))</f>
        <v/>
      </c>
      <c r="K293" t="inlineStr">
        <is>
          <t>Ahmed, Jama</t>
        </is>
      </c>
      <c r="L293">
        <f>VLOOKUP(K293, UserCodes!A:B, 2, FALSE)</f>
        <v/>
      </c>
    </row>
    <row r="294">
      <c r="A294" t="inlineStr">
        <is>
          <t>Yusuf, Khadija</t>
        </is>
      </c>
      <c r="B294" s="3" t="n">
        <v>46004</v>
      </c>
      <c r="C294" t="inlineStr">
        <is>
          <t>02:30 PM - 05:00 PM</t>
        </is>
      </c>
      <c r="D294" t="inlineStr">
        <is>
          <t>02:30</t>
        </is>
      </c>
      <c r="E294">
        <f>HOUR(D294)+MINUTE(D294)/100</f>
        <v/>
      </c>
      <c r="F294">
        <f>ROUND(INT(E294) + (E294 - INT(E294)) * 100 / 60, 2)</f>
        <v/>
      </c>
      <c r="G294">
        <f>E294*4</f>
        <v/>
      </c>
      <c r="H294">
        <f>LET(total, INT(E294)*60 + (E294-INT(E294))*100, blocks, QUOTIENT(total, 15), extra, MOD(total, 15), units, blocks + IF(extra&gt;=8, 1, 0), units)</f>
        <v/>
      </c>
      <c r="J294">
        <f>IF(L294="Level 1", VLOOKUP(I294, UserCodes!E:F, 2, FALSE) * H294, IF(L294="Level 2", VLOOKUP(I294, UserCodes!E:F, 2, FALSE) * H294 * 0.8, 0))</f>
        <v/>
      </c>
      <c r="K294" t="inlineStr">
        <is>
          <t>Barqab, Mushtaq</t>
        </is>
      </c>
      <c r="L294">
        <f>VLOOKUP(K294, UserCodes!A:B, 2, FALSE)</f>
        <v/>
      </c>
    </row>
    <row r="295">
      <c r="A295" t="inlineStr">
        <is>
          <t>Yusuf, Khadija</t>
        </is>
      </c>
      <c r="B295" s="3" t="n">
        <v>46004</v>
      </c>
      <c r="C295" t="inlineStr">
        <is>
          <t>02:00 PM - 02:30 PM</t>
        </is>
      </c>
      <c r="D295" t="inlineStr">
        <is>
          <t>00:30</t>
        </is>
      </c>
      <c r="E295">
        <f>HOUR(D295)+MINUTE(D295)/100</f>
        <v/>
      </c>
      <c r="F295">
        <f>ROUND(INT(E295) + (E295 - INT(E295)) * 100 / 60, 2)</f>
        <v/>
      </c>
      <c r="G295">
        <f>E295*4</f>
        <v/>
      </c>
      <c r="H295">
        <f>LET(total, INT(E295)*60 + (E295-INT(E295))*100, blocks, QUOTIENT(total, 15), extra, MOD(total, 15), units, blocks + IF(extra&gt;=8, 1, 0), units)</f>
        <v/>
      </c>
      <c r="J295">
        <f>IF(L295="Level 1", VLOOKUP(I295, UserCodes!E:F, 2, FALSE) * H295, IF(L295="Level 2", VLOOKUP(I295, UserCodes!E:F, 2, FALSE) * H295 * 0.8, 0))</f>
        <v/>
      </c>
      <c r="K295" t="inlineStr">
        <is>
          <t>Ibrahim, Ahmed</t>
        </is>
      </c>
      <c r="L295">
        <f>VLOOKUP(K295, UserCodes!A:B, 2, FALSE)</f>
        <v/>
      </c>
    </row>
    <row r="296">
      <c r="A296" t="inlineStr">
        <is>
          <t>Yusuf, Khadija</t>
        </is>
      </c>
      <c r="B296" s="3" t="n">
        <v>46004</v>
      </c>
      <c r="C296" t="inlineStr">
        <is>
          <t>10:30 AM - 01:30 PM</t>
        </is>
      </c>
      <c r="D296" t="inlineStr">
        <is>
          <t>03:00</t>
        </is>
      </c>
      <c r="E296">
        <f>HOUR(D296)+MINUTE(D296)/100</f>
        <v/>
      </c>
      <c r="F296">
        <f>ROUND(INT(E296) + (E296 - INT(E296)) * 100 / 60, 2)</f>
        <v/>
      </c>
      <c r="G296">
        <f>E296*4</f>
        <v/>
      </c>
      <c r="H296">
        <f>LET(total, INT(E296)*60 + (E296-INT(E296))*100, blocks, QUOTIENT(total, 15), extra, MOD(total, 15), units, blocks + IF(extra&gt;=8, 1, 0), units)</f>
        <v/>
      </c>
      <c r="J296">
        <f>IF(L296="Level 1", VLOOKUP(I296, UserCodes!E:F, 2, FALSE) * H296, IF(L296="Level 2", VLOOKUP(I296, UserCodes!E:F, 2, FALSE) * H296 * 0.8, 0))</f>
        <v/>
      </c>
      <c r="K296" t="inlineStr">
        <is>
          <t>Ibrahim, Ahmed</t>
        </is>
      </c>
      <c r="L296">
        <f>VLOOKUP(K296, UserCodes!A:B, 2, FALSE)</f>
        <v/>
      </c>
    </row>
    <row r="297">
      <c r="A297" t="inlineStr">
        <is>
          <t>Yusuf, Khadija</t>
        </is>
      </c>
      <c r="B297" s="3" t="n">
        <v>46004</v>
      </c>
      <c r="C297" t="inlineStr">
        <is>
          <t>09:00 AM - 02:00 PM</t>
        </is>
      </c>
      <c r="D297" t="inlineStr">
        <is>
          <t>05:00</t>
        </is>
      </c>
      <c r="E297">
        <f>HOUR(D297)+MINUTE(D297)/100</f>
        <v/>
      </c>
      <c r="F297">
        <f>ROUND(INT(E297) + (E297 - INT(E297)) * 100 / 60, 2)</f>
        <v/>
      </c>
      <c r="G297">
        <f>E297*4</f>
        <v/>
      </c>
      <c r="H297">
        <f>LET(total, INT(E297)*60 + (E297-INT(E297))*100, blocks, QUOTIENT(total, 15), extra, MOD(total, 15), units, blocks + IF(extra&gt;=8, 1, 0), units)</f>
        <v/>
      </c>
      <c r="J297">
        <f>IF(L297="Level 1", VLOOKUP(I297, UserCodes!E:F, 2, FALSE) * H297, IF(L297="Level 2", VLOOKUP(I297, UserCodes!E:F, 2, FALSE) * H297 * 0.8, 0))</f>
        <v/>
      </c>
      <c r="K297" t="inlineStr">
        <is>
          <t>Barqab, Mushtaq</t>
        </is>
      </c>
      <c r="L297">
        <f>VLOOKUP(K297, UserCodes!A:B, 2, FALSE)</f>
        <v/>
      </c>
    </row>
    <row r="298">
      <c r="A298" t="inlineStr">
        <is>
          <t>Yusuf, Khadija</t>
        </is>
      </c>
      <c r="B298" s="3" t="n">
        <v>46003</v>
      </c>
      <c r="C298" t="inlineStr">
        <is>
          <t>02:00 PM - 05:00 PM</t>
        </is>
      </c>
      <c r="D298" t="inlineStr">
        <is>
          <t>03:00</t>
        </is>
      </c>
      <c r="E298">
        <f>HOUR(D298)+MINUTE(D298)/100</f>
        <v/>
      </c>
      <c r="F298">
        <f>ROUND(INT(E298) + (E298 - INT(E298)) * 100 / 60, 2)</f>
        <v/>
      </c>
      <c r="G298">
        <f>E298*4</f>
        <v/>
      </c>
      <c r="H298">
        <f>LET(total, INT(E298)*60 + (E298-INT(E298))*100, blocks, QUOTIENT(total, 15), extra, MOD(total, 15), units, blocks + IF(extra&gt;=8, 1, 0), units)</f>
        <v/>
      </c>
      <c r="J298">
        <f>IF(L298="Level 1", VLOOKUP(I298, UserCodes!E:F, 2, FALSE) * H298, IF(L298="Level 2", VLOOKUP(I298, UserCodes!E:F, 2, FALSE) * H298 * 0.8, 0))</f>
        <v/>
      </c>
      <c r="K298" t="inlineStr">
        <is>
          <t>Noor, Kamilo</t>
        </is>
      </c>
      <c r="L298">
        <f>VLOOKUP(K298, UserCodes!A:B, 2, FALSE)</f>
        <v/>
      </c>
    </row>
    <row r="299">
      <c r="A299" t="inlineStr">
        <is>
          <t>Yusuf, Khadija</t>
        </is>
      </c>
      <c r="B299" s="3" t="n">
        <v>46003</v>
      </c>
      <c r="C299" t="inlineStr">
        <is>
          <t>01:00 PM - 06:00 PM</t>
        </is>
      </c>
      <c r="D299" t="inlineStr">
        <is>
          <t>05:00</t>
        </is>
      </c>
      <c r="E299">
        <f>HOUR(D299)+MINUTE(D299)/100</f>
        <v/>
      </c>
      <c r="F299">
        <f>ROUND(INT(E299) + (E299 - INT(E299)) * 100 / 60, 2)</f>
        <v/>
      </c>
      <c r="G299">
        <f>E299*4</f>
        <v/>
      </c>
      <c r="H299">
        <f>LET(total, INT(E299)*60 + (E299-INT(E299))*100, blocks, QUOTIENT(total, 15), extra, MOD(total, 15), units, blocks + IF(extra&gt;=8, 1, 0), units)</f>
        <v/>
      </c>
      <c r="J299">
        <f>IF(L299="Level 1", VLOOKUP(I299, UserCodes!E:F, 2, FALSE) * H299, IF(L299="Level 2", VLOOKUP(I299, UserCodes!E:F, 2, FALSE) * H299 * 0.8, 0))</f>
        <v/>
      </c>
      <c r="K299" t="inlineStr">
        <is>
          <t>Hashi, Ridwan</t>
        </is>
      </c>
      <c r="L299">
        <f>VLOOKUP(K299, UserCodes!A:B, 2, FALSE)</f>
        <v/>
      </c>
    </row>
    <row r="300">
      <c r="A300" t="inlineStr">
        <is>
          <t>Yusuf, Khadija</t>
        </is>
      </c>
      <c r="B300" s="3" t="n">
        <v>46002</v>
      </c>
      <c r="C300" t="inlineStr">
        <is>
          <t>01:00 PM - 04:00 PM</t>
        </is>
      </c>
      <c r="D300" t="inlineStr">
        <is>
          <t>03:00</t>
        </is>
      </c>
      <c r="E300">
        <f>HOUR(D300)+MINUTE(D300)/100</f>
        <v/>
      </c>
      <c r="F300">
        <f>ROUND(INT(E300) + (E300 - INT(E300)) * 100 / 60, 2)</f>
        <v/>
      </c>
      <c r="G300">
        <f>E300*4</f>
        <v/>
      </c>
      <c r="H300">
        <f>LET(total, INT(E300)*60 + (E300-INT(E300))*100, blocks, QUOTIENT(total, 15), extra, MOD(total, 15), units, blocks + IF(extra&gt;=8, 1, 0), units)</f>
        <v/>
      </c>
      <c r="J300">
        <f>IF(L300="Level 1", VLOOKUP(I300, UserCodes!E:F, 2, FALSE) * H300, IF(L300="Level 2", VLOOKUP(I300, UserCodes!E:F, 2, FALSE) * H300 * 0.8, 0))</f>
        <v/>
      </c>
      <c r="K300" t="inlineStr">
        <is>
          <t>Noor, Kamilo</t>
        </is>
      </c>
      <c r="L300">
        <f>VLOOKUP(K300, UserCodes!A:B, 2, FALSE)</f>
        <v/>
      </c>
    </row>
    <row r="301">
      <c r="A301" t="inlineStr">
        <is>
          <t>Yusuf, Khadija</t>
        </is>
      </c>
      <c r="B301" s="3" t="n">
        <v>46002</v>
      </c>
      <c r="C301" t="inlineStr">
        <is>
          <t>01:00 PM - 06:00 PM</t>
        </is>
      </c>
      <c r="D301" t="inlineStr">
        <is>
          <t>05:00</t>
        </is>
      </c>
      <c r="E301">
        <f>HOUR(D301)+MINUTE(D301)/100</f>
        <v/>
      </c>
      <c r="F301">
        <f>ROUND(INT(E301) + (E301 - INT(E301)) * 100 / 60, 2)</f>
        <v/>
      </c>
      <c r="G301">
        <f>E301*4</f>
        <v/>
      </c>
      <c r="H301">
        <f>LET(total, INT(E301)*60 + (E301-INT(E301))*100, blocks, QUOTIENT(total, 15), extra, MOD(total, 15), units, blocks + IF(extra&gt;=8, 1, 0), units)</f>
        <v/>
      </c>
      <c r="J301">
        <f>IF(L301="Level 1", VLOOKUP(I301, UserCodes!E:F, 2, FALSE) * H301, IF(L301="Level 2", VLOOKUP(I301, UserCodes!E:F, 2, FALSE) * H301 * 0.8, 0))</f>
        <v/>
      </c>
      <c r="K301" t="inlineStr">
        <is>
          <t>Ran, Sameya</t>
        </is>
      </c>
      <c r="L301">
        <f>VLOOKUP(K301, UserCodes!A:B, 2, FALSE)</f>
        <v/>
      </c>
    </row>
    <row r="302">
      <c r="A302" t="inlineStr">
        <is>
          <t>Yusuf, Khadija</t>
        </is>
      </c>
      <c r="B302" s="3" t="n">
        <v>46001</v>
      </c>
      <c r="C302" t="inlineStr">
        <is>
          <t>01:00 PM - 04:00 PM</t>
        </is>
      </c>
      <c r="D302" t="inlineStr">
        <is>
          <t>03:00</t>
        </is>
      </c>
      <c r="E302">
        <f>HOUR(D302)+MINUTE(D302)/100</f>
        <v/>
      </c>
      <c r="F302">
        <f>ROUND(INT(E302) + (E302 - INT(E302)) * 100 / 60, 2)</f>
        <v/>
      </c>
      <c r="G302">
        <f>E302*4</f>
        <v/>
      </c>
      <c r="H302">
        <f>LET(total, INT(E302)*60 + (E302-INT(E302))*100, blocks, QUOTIENT(total, 15), extra, MOD(total, 15), units, blocks + IF(extra&gt;=8, 1, 0), units)</f>
        <v/>
      </c>
      <c r="J302">
        <f>IF(L302="Level 1", VLOOKUP(I302, UserCodes!E:F, 2, FALSE) * H302, IF(L302="Level 2", VLOOKUP(I302, UserCodes!E:F, 2, FALSE) * H302 * 0.8, 0))</f>
        <v/>
      </c>
      <c r="K302" t="inlineStr">
        <is>
          <t>Muse, Ayni</t>
        </is>
      </c>
      <c r="L302">
        <f>VLOOKUP(K302, UserCodes!A:B, 2, FALSE)</f>
        <v/>
      </c>
    </row>
    <row r="303">
      <c r="A303" t="inlineStr">
        <is>
          <t>Yusuf, Khadija</t>
        </is>
      </c>
      <c r="B303" s="3" t="n">
        <v>46001</v>
      </c>
      <c r="C303" t="inlineStr">
        <is>
          <t>01:00 PM - 05:30 PM</t>
        </is>
      </c>
      <c r="D303" t="inlineStr">
        <is>
          <t>04:30</t>
        </is>
      </c>
      <c r="E303">
        <f>HOUR(D303)+MINUTE(D303)/100</f>
        <v/>
      </c>
      <c r="F303">
        <f>ROUND(INT(E303) + (E303 - INT(E303)) * 100 / 60, 2)</f>
        <v/>
      </c>
      <c r="G303">
        <f>E303*4</f>
        <v/>
      </c>
      <c r="H303">
        <f>LET(total, INT(E303)*60 + (E303-INT(E303))*100, blocks, QUOTIENT(total, 15), extra, MOD(total, 15), units, blocks + IF(extra&gt;=8, 1, 0), units)</f>
        <v/>
      </c>
      <c r="J303">
        <f>IF(L303="Level 1", VLOOKUP(I303, UserCodes!E:F, 2, FALSE) * H303, IF(L303="Level 2", VLOOKUP(I303, UserCodes!E:F, 2, FALSE) * H303 * 0.8, 0))</f>
        <v/>
      </c>
      <c r="K303" t="inlineStr">
        <is>
          <t>Ali, Naima</t>
        </is>
      </c>
      <c r="L303">
        <f>VLOOKUP(K303, UserCodes!A:B, 2, FALSE)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Level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Code</t>
        </is>
      </c>
      <c r="F1" s="1" t="inlineStr">
        <is>
          <t>Price</t>
        </is>
      </c>
    </row>
    <row r="2">
      <c r="A2" t="inlineStr">
        <is>
          <t>Abduallahi, Ikraan</t>
        </is>
      </c>
      <c r="B2" t="inlineStr">
        <is>
          <t>Level 2</t>
        </is>
      </c>
      <c r="E2" t="inlineStr">
        <is>
          <t>97151</t>
        </is>
      </c>
      <c r="F2" t="n">
        <v>50.11</v>
      </c>
    </row>
    <row r="3">
      <c r="A3" t="inlineStr">
        <is>
          <t>Abdulle, Suweda</t>
        </is>
      </c>
      <c r="B3" t="inlineStr">
        <is>
          <t>Level 2</t>
        </is>
      </c>
      <c r="E3" t="inlineStr">
        <is>
          <t>PM</t>
        </is>
      </c>
      <c r="F3" t="n">
        <v>94.8</v>
      </c>
    </row>
    <row r="4">
      <c r="A4" t="inlineStr">
        <is>
          <t>Abdulle, Zamzam</t>
        </is>
      </c>
      <c r="B4" t="inlineStr">
        <is>
          <t>Level 2</t>
        </is>
      </c>
      <c r="E4" t="inlineStr">
        <is>
          <t>T1024</t>
        </is>
      </c>
      <c r="F4" t="n">
        <v>112.67</v>
      </c>
    </row>
    <row r="5">
      <c r="A5" t="inlineStr">
        <is>
          <t>Abdurahman, Yasmin</t>
        </is>
      </c>
      <c r="B5" t="inlineStr">
        <is>
          <t>Level 2</t>
        </is>
      </c>
      <c r="E5" t="inlineStr">
        <is>
          <t>1/1 
97153</t>
        </is>
      </c>
      <c r="F5" t="n">
        <v>20.17</v>
      </c>
    </row>
    <row r="6">
      <c r="A6" t="inlineStr">
        <is>
          <t>Ahmed, Jama</t>
        </is>
      </c>
      <c r="B6" t="inlineStr">
        <is>
          <t>Level 1</t>
        </is>
      </c>
      <c r="E6" t="inlineStr">
        <is>
          <t>97154</t>
        </is>
      </c>
      <c r="F6" t="n">
        <v>6.72</v>
      </c>
    </row>
    <row r="7">
      <c r="A7" t="inlineStr">
        <is>
          <t>ALI, AMIRA</t>
        </is>
      </c>
      <c r="B7" t="inlineStr">
        <is>
          <t>Level 2</t>
        </is>
      </c>
      <c r="E7" t="inlineStr">
        <is>
          <t>0373T</t>
        </is>
      </c>
      <c r="F7" t="n">
        <v>24.19</v>
      </c>
    </row>
    <row r="8">
      <c r="A8" t="inlineStr">
        <is>
          <t>Ali, Naima</t>
        </is>
      </c>
      <c r="B8" t="inlineStr">
        <is>
          <t>Level 2</t>
        </is>
      </c>
      <c r="E8" t="inlineStr">
        <is>
          <t>O&amp;D 
97155</t>
        </is>
      </c>
      <c r="F8" t="n">
        <v>20.17</v>
      </c>
    </row>
    <row r="9">
      <c r="A9" t="inlineStr">
        <is>
          <t>Ali, Nasteho</t>
        </is>
      </c>
      <c r="B9" t="inlineStr">
        <is>
          <t>Level 2</t>
        </is>
      </c>
      <c r="E9" t="inlineStr">
        <is>
          <t>FT</t>
        </is>
      </c>
      <c r="F9" t="n">
        <v>20.17</v>
      </c>
    </row>
    <row r="10">
      <c r="A10" t="inlineStr">
        <is>
          <t>Barack, Sara</t>
        </is>
      </c>
      <c r="B10" t="inlineStr">
        <is>
          <t>Level 2</t>
        </is>
      </c>
      <c r="E10" t="inlineStr">
        <is>
          <t>97157</t>
        </is>
      </c>
      <c r="F10" t="n">
        <v>6.72</v>
      </c>
    </row>
    <row r="11">
      <c r="A11" t="inlineStr">
        <is>
          <t>Barqab, Mushtaq</t>
        </is>
      </c>
      <c r="B11" t="inlineStr">
        <is>
          <t>Level 2</t>
        </is>
      </c>
      <c r="E11" t="inlineStr">
        <is>
          <t>H0046</t>
        </is>
      </c>
      <c r="F11" t="n">
        <v>0.52</v>
      </c>
    </row>
    <row r="12">
      <c r="A12" t="inlineStr">
        <is>
          <t>Bello, Hiqmat</t>
        </is>
      </c>
      <c r="B12" t="inlineStr">
        <is>
          <t>Level 1</t>
        </is>
      </c>
    </row>
    <row r="13">
      <c r="A13" t="inlineStr">
        <is>
          <t>Hashi, Ridwan</t>
        </is>
      </c>
      <c r="B13" t="inlineStr">
        <is>
          <t>Level 2</t>
        </is>
      </c>
    </row>
    <row r="14">
      <c r="A14" t="inlineStr">
        <is>
          <t>Jama, Sara</t>
        </is>
      </c>
      <c r="B14" t="inlineStr">
        <is>
          <t>Level 2</t>
        </is>
      </c>
    </row>
    <row r="15">
      <c r="A15" t="inlineStr">
        <is>
          <t>Khalif, Muna</t>
        </is>
      </c>
      <c r="B15" t="inlineStr">
        <is>
          <t>Level 1</t>
        </is>
      </c>
    </row>
    <row r="16">
      <c r="A16" t="inlineStr">
        <is>
          <t>Mohamed, Meymun</t>
        </is>
      </c>
      <c r="B16" t="inlineStr">
        <is>
          <t>Level 1</t>
        </is>
      </c>
    </row>
    <row r="17">
      <c r="A17" t="inlineStr">
        <is>
          <t>Muse, Aaliya</t>
        </is>
      </c>
      <c r="B17" t="inlineStr">
        <is>
          <t>Level 2</t>
        </is>
      </c>
    </row>
    <row r="18">
      <c r="A18" t="inlineStr">
        <is>
          <t>Muse, Adna</t>
        </is>
      </c>
      <c r="B18" t="inlineStr">
        <is>
          <t>Level 2</t>
        </is>
      </c>
    </row>
    <row r="19">
      <c r="A19" t="inlineStr">
        <is>
          <t>Muse, Ayni</t>
        </is>
      </c>
      <c r="B19" t="inlineStr">
        <is>
          <t>Level 2</t>
        </is>
      </c>
    </row>
    <row r="20">
      <c r="A20" t="inlineStr">
        <is>
          <t>Noor, Kamilo</t>
        </is>
      </c>
      <c r="B20" t="inlineStr">
        <is>
          <t>Level 1</t>
        </is>
      </c>
    </row>
    <row r="21">
      <c r="A21" t="inlineStr">
        <is>
          <t>Omar, Saido</t>
        </is>
      </c>
      <c r="B21" t="inlineStr">
        <is>
          <t>Level 1</t>
        </is>
      </c>
    </row>
    <row r="22">
      <c r="A22" t="inlineStr">
        <is>
          <t>Ran, Sameya</t>
        </is>
      </c>
      <c r="B22" t="inlineStr">
        <is>
          <t>Level 2</t>
        </is>
      </c>
    </row>
    <row r="23">
      <c r="A23" t="inlineStr">
        <is>
          <t>Kounlavouth, Roselie</t>
        </is>
      </c>
      <c r="B23" t="inlineStr">
        <is>
          <t>Level 1</t>
        </is>
      </c>
    </row>
    <row r="24">
      <c r="A24" t="inlineStr">
        <is>
          <t>El-Tay, Dr. Ismael</t>
        </is>
      </c>
      <c r="B24" t="inlineStr">
        <is>
          <t>Level 1</t>
        </is>
      </c>
    </row>
    <row r="25">
      <c r="A25" t="inlineStr">
        <is>
          <t>Nate</t>
        </is>
      </c>
      <c r="B25" t="inlineStr">
        <is>
          <t>Level 1</t>
        </is>
      </c>
    </row>
    <row r="26">
      <c r="A26" t="inlineStr">
        <is>
          <t>Osman, Basra</t>
        </is>
      </c>
      <c r="B26" t="inlineStr">
        <is>
          <t>Level 1</t>
        </is>
      </c>
    </row>
    <row r="27">
      <c r="A27" t="inlineStr">
        <is>
          <t>Khalif, MK</t>
        </is>
      </c>
      <c r="B27" t="inlineStr">
        <is>
          <t>Level 1</t>
        </is>
      </c>
    </row>
    <row r="28">
      <c r="A28" t="inlineStr">
        <is>
          <t>Hashi, Kafiya</t>
        </is>
      </c>
      <c r="B28" t="inlineStr">
        <is>
          <t>Level 2</t>
        </is>
      </c>
    </row>
    <row r="29">
      <c r="A29" t="inlineStr">
        <is>
          <t>MUHUMED, YACQUB</t>
        </is>
      </c>
      <c r="B29" t="inlineStr">
        <is>
          <t>Level 2</t>
        </is>
      </c>
    </row>
    <row r="30">
      <c r="A30" t="inlineStr">
        <is>
          <t>Omar, Mohamed</t>
        </is>
      </c>
      <c r="B30" t="inlineStr">
        <is>
          <t>Level 2</t>
        </is>
      </c>
    </row>
    <row r="31">
      <c r="A31" t="inlineStr">
        <is>
          <t>Mohamed, Madar</t>
        </is>
      </c>
      <c r="B31" t="inlineStr">
        <is>
          <t>Level 2</t>
        </is>
      </c>
    </row>
    <row r="32">
      <c r="A32" t="inlineStr">
        <is>
          <t>Issa, Yassin</t>
        </is>
      </c>
      <c r="B32" t="inlineStr">
        <is>
          <t>Level 1</t>
        </is>
      </c>
    </row>
    <row r="33">
      <c r="A33" t="inlineStr">
        <is>
          <t>Sharif, Omar</t>
        </is>
      </c>
      <c r="B33" t="inlineStr">
        <is>
          <t>Level 2</t>
        </is>
      </c>
    </row>
    <row r="34">
      <c r="A34" t="inlineStr">
        <is>
          <t>Jama, Ruweyda</t>
        </is>
      </c>
      <c r="B34" t="inlineStr">
        <is>
          <t>Level 2</t>
        </is>
      </c>
    </row>
    <row r="35">
      <c r="A35" t="inlineStr">
        <is>
          <t>Hawadle, Abdiaziz</t>
        </is>
      </c>
      <c r="B35" t="inlineStr">
        <is>
          <t>Level 1</t>
        </is>
      </c>
    </row>
    <row r="36">
      <c r="A36" t="inlineStr">
        <is>
          <t>Mohamed, Samsam</t>
        </is>
      </c>
      <c r="B36" t="inlineStr">
        <is>
          <t>Level 2</t>
        </is>
      </c>
    </row>
    <row r="37">
      <c r="A37" t="inlineStr">
        <is>
          <t>Muse, Nawaal</t>
        </is>
      </c>
      <c r="B37" t="inlineStr">
        <is>
          <t>Level 2</t>
        </is>
      </c>
    </row>
    <row r="38">
      <c r="A38" t="inlineStr">
        <is>
          <t>Mohamed, Mohamed</t>
        </is>
      </c>
      <c r="B38" t="inlineStr">
        <is>
          <t>Level 2</t>
        </is>
      </c>
    </row>
    <row r="39">
      <c r="A39" t="inlineStr">
        <is>
          <t>Ibrahim, Ahmed</t>
        </is>
      </c>
      <c r="B39" t="inlineStr">
        <is>
          <t>Level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Service Date</t>
        </is>
      </c>
      <c r="C1" s="1" t="inlineStr">
        <is>
          <t>Session Time</t>
        </is>
      </c>
      <c r="D1" s="1" t="inlineStr">
        <is>
          <t>Session Duration</t>
        </is>
      </c>
      <c r="E1" s="1" t="inlineStr">
        <is>
          <t>Hours</t>
        </is>
      </c>
      <c r="F1" s="1" t="inlineStr">
        <is>
          <t>Pay</t>
        </is>
      </c>
      <c r="G1" s="1" t="inlineStr">
        <is>
          <t>Units</t>
        </is>
      </c>
      <c r="H1" s="1" t="inlineStr">
        <is>
          <t>FNF</t>
        </is>
      </c>
      <c r="I1" s="1" t="inlineStr">
        <is>
          <t>Code</t>
        </is>
      </c>
      <c r="J1" s="1" t="inlineStr">
        <is>
          <t>Charged Amount</t>
        </is>
      </c>
      <c r="K1" s="1" t="inlineStr">
        <is>
          <t>User</t>
        </is>
      </c>
      <c r="L1" s="1" t="inlineStr">
        <is>
          <t>Level</t>
        </is>
      </c>
      <c r="M1" s="1" t="inlineStr">
        <is>
          <t>Note</t>
        </is>
      </c>
      <c r="N1" s="1" t="inlineStr">
        <is>
          <t>Unbilled notes</t>
        </is>
      </c>
      <c r="O1" s="1" t="inlineStr">
        <is>
          <t>Expiration Date</t>
        </is>
      </c>
    </row>
    <row r="2">
      <c r="A2" t="inlineStr">
        <is>
          <t>Abdulkadir, Nadra</t>
        </is>
      </c>
      <c r="B2" s="3" t="n">
        <v>46001</v>
      </c>
      <c r="C2" t="inlineStr">
        <is>
          <t>01:00 PM - 03:00 PM</t>
        </is>
      </c>
      <c r="D2" t="inlineStr">
        <is>
          <t>02:00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O&amp;D 
97155</t>
        </is>
      </c>
      <c r="J2">
        <f>IF(L2="Level 1", VLOOKUP(I2, UserCodes!E:F, 2, FALSE) * H2, IF(L2="Level 2", VLOOKUP(I2, UserCodes!E:F, 2, FALSE) * H2 * 0.8, 0))</f>
        <v/>
      </c>
      <c r="K2" t="inlineStr">
        <is>
          <t>Mohamed, Madar</t>
        </is>
      </c>
      <c r="L2">
        <f>VLOOKUP(K2, UserCodes!A:B, 2, FALSE)</f>
        <v/>
      </c>
    </row>
    <row r="3">
      <c r="A3" t="inlineStr">
        <is>
          <t>Abdulkadir, Nadra</t>
        </is>
      </c>
      <c r="B3" s="3" t="n">
        <v>46001</v>
      </c>
      <c r="C3" t="inlineStr">
        <is>
          <t>01:30 PM - 06:30 PM</t>
        </is>
      </c>
      <c r="D3" t="inlineStr">
        <is>
          <t>05:00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1/1 
97153</t>
        </is>
      </c>
      <c r="J3">
        <f>IF(L3="Level 1", VLOOKUP(I3, UserCodes!E:F, 2, FALSE) * H3, IF(L3="Level 2", VLOOKUP(I3, UserCodes!E:F, 2, FALSE) * H3 * 0.8, 0))</f>
        <v/>
      </c>
      <c r="K3" t="inlineStr">
        <is>
          <t>ALI, AMIRA</t>
        </is>
      </c>
      <c r="L3">
        <f>VLOOKUP(K3, UserCodes!A:B, 2, FALSE)</f>
        <v/>
      </c>
    </row>
    <row r="4">
      <c r="A4" t="inlineStr">
        <is>
          <t>Abdulkadir, Nadra</t>
        </is>
      </c>
      <c r="B4" s="3" t="n">
        <v>46001</v>
      </c>
      <c r="C4" t="inlineStr">
        <is>
          <t>01:30 PM - 03:50 PM</t>
        </is>
      </c>
      <c r="D4" t="inlineStr">
        <is>
          <t>02:20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J4">
        <f>IF(L4="Level 1", VLOOKUP(I4, UserCodes!E:F, 2, FALSE) * H4, IF(L4="Level 2", VLOOKUP(I4, UserCodes!E:F, 2, FALSE) * H4 * 0.8, 0))</f>
        <v/>
      </c>
      <c r="K4" t="inlineStr">
        <is>
          <t>Ahmed, Jama</t>
        </is>
      </c>
      <c r="L4">
        <f>VLOOKUP(K4, UserCodes!A:B, 2, FALSE)</f>
        <v/>
      </c>
      <c r="M4" t="inlineStr">
        <is>
          <t>No schedule</t>
        </is>
      </c>
    </row>
    <row r="5">
      <c r="A5" t="inlineStr">
        <is>
          <t>Abdulkadir, Nadra</t>
        </is>
      </c>
      <c r="B5" s="3" t="n">
        <v>46001</v>
      </c>
      <c r="C5" t="inlineStr">
        <is>
          <t>01:30 PM - 05:00 PM</t>
        </is>
      </c>
      <c r="D5" t="inlineStr">
        <is>
          <t>03:30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O&amp;D 
97155</t>
        </is>
      </c>
      <c r="J5">
        <f>IF(L5="Level 1", VLOOKUP(I5, UserCodes!E:F, 2, FALSE) * H5, IF(L5="Level 2", VLOOKUP(I5, UserCodes!E:F, 2, FALSE) * H5 * 0.8, 0))</f>
        <v/>
      </c>
      <c r="K5" t="inlineStr">
        <is>
          <t>Mohamed, Madar</t>
        </is>
      </c>
      <c r="L5">
        <f>VLOOKUP(K5, UserCodes!A:B, 2, FALSE)</f>
        <v/>
      </c>
    </row>
    <row r="6">
      <c r="A6" t="inlineStr">
        <is>
          <t>Yusuf, Khadija</t>
        </is>
      </c>
      <c r="B6" s="3" t="n">
        <v>46001</v>
      </c>
      <c r="C6" t="inlineStr">
        <is>
          <t>01:00 PM - 05:30 PM</t>
        </is>
      </c>
      <c r="D6" t="inlineStr">
        <is>
          <t>04:30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Ali, Naima</t>
        </is>
      </c>
      <c r="L6">
        <f>VLOOKUP(K6, UserCodes!A:B, 2, FALSE)</f>
        <v/>
      </c>
    </row>
    <row r="7">
      <c r="A7" t="inlineStr">
        <is>
          <t>Kadir, Hamdi</t>
        </is>
      </c>
      <c r="B7" s="3" t="n">
        <v>46001</v>
      </c>
      <c r="C7" t="inlineStr">
        <is>
          <t>02:00 PM - 05:00 PM</t>
        </is>
      </c>
      <c r="D7" t="inlineStr">
        <is>
          <t>03:00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1/1 
97153</t>
        </is>
      </c>
      <c r="J7">
        <f>IF(L7="Level 1", VLOOKUP(I7, UserCodes!E:F, 2, FALSE) * H7, IF(L7="Level 2", VLOOKUP(I7, UserCodes!E:F, 2, FALSE) * H7 * 0.8, 0))</f>
        <v/>
      </c>
      <c r="K7" t="inlineStr">
        <is>
          <t>Hashi, Ridwan</t>
        </is>
      </c>
      <c r="L7">
        <f>VLOOKUP(K7, UserCodes!A:B, 2, FALSE)</f>
        <v/>
      </c>
    </row>
    <row r="8">
      <c r="A8" t="inlineStr">
        <is>
          <t>Mohamed, Sumaya</t>
        </is>
      </c>
      <c r="B8" s="3" t="n">
        <v>46001</v>
      </c>
      <c r="C8" t="inlineStr">
        <is>
          <t>12:30 PM - 03:30 PM</t>
        </is>
      </c>
      <c r="D8" t="inlineStr">
        <is>
          <t>03:00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1/1 
97153</t>
        </is>
      </c>
      <c r="J8">
        <f>IF(L8="Level 1", VLOOKUP(I8, UserCodes!E:F, 2, FALSE) * H8, IF(L8="Level 2", VLOOKUP(I8, UserCodes!E:F, 2, FALSE) * H8 * 0.8, 0))</f>
        <v/>
      </c>
      <c r="K8" t="inlineStr">
        <is>
          <t>Muse, Adna</t>
        </is>
      </c>
      <c r="L8">
        <f>VLOOKUP(K8, UserCodes!A:B, 2, FALSE)</f>
        <v/>
      </c>
    </row>
    <row r="9">
      <c r="A9" t="inlineStr">
        <is>
          <t>Kadir, Hamdi</t>
        </is>
      </c>
      <c r="B9" s="3" t="n">
        <v>46001</v>
      </c>
      <c r="C9" t="inlineStr">
        <is>
          <t>03:30 PM - 05:00 PM</t>
        </is>
      </c>
      <c r="D9" t="inlineStr">
        <is>
          <t>01:30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O&amp;D 
97155</t>
        </is>
      </c>
      <c r="J9">
        <f>IF(L9="Level 1", VLOOKUP(I9, UserCodes!E:F, 2, FALSE) * H9, IF(L9="Level 2", VLOOKUP(I9, UserCodes!E:F, 2, FALSE) * H9 * 0.8, 0))</f>
        <v/>
      </c>
      <c r="K9" t="inlineStr">
        <is>
          <t>Muse, Adna</t>
        </is>
      </c>
      <c r="L9">
        <f>VLOOKUP(K9, UserCodes!A:B, 2, FALSE)</f>
        <v/>
      </c>
    </row>
    <row r="10">
      <c r="A10" t="inlineStr">
        <is>
          <t>Yusuf, Khadija</t>
        </is>
      </c>
      <c r="B10" s="3" t="n">
        <v>46001</v>
      </c>
      <c r="C10" t="inlineStr">
        <is>
          <t>01:00 PM - 04:00 PM</t>
        </is>
      </c>
      <c r="D10" t="inlineStr">
        <is>
          <t>03:00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O&amp;D 
97155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Muse, Ayni</t>
        </is>
      </c>
      <c r="L10">
        <f>VLOOKUP(K10, UserCodes!A:B, 2, FALSE)</f>
        <v/>
      </c>
    </row>
    <row r="11">
      <c r="A11" t="inlineStr">
        <is>
          <t>Yusuf 2, Khadra</t>
        </is>
      </c>
      <c r="B11" s="3" t="n">
        <v>46001</v>
      </c>
      <c r="C11" t="inlineStr">
        <is>
          <t>01:00 PM - 05:30 PM</t>
        </is>
      </c>
      <c r="D11" t="inlineStr">
        <is>
          <t>04:30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1/1 
97153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Noor, Kamilo</t>
        </is>
      </c>
      <c r="L11">
        <f>VLOOKUP(K11, UserCodes!A:B, 2, FALSE)</f>
        <v/>
      </c>
    </row>
    <row r="12">
      <c r="A12" t="inlineStr">
        <is>
          <t>Abdi, Samira</t>
        </is>
      </c>
      <c r="B12" s="3" t="n">
        <v>46001</v>
      </c>
      <c r="C12" t="inlineStr">
        <is>
          <t>10:00 AM - 12:30 PM</t>
        </is>
      </c>
      <c r="D12" t="inlineStr">
        <is>
          <t>02:30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J12">
        <f>IF(L12="Level 1", VLOOKUP(I12, UserCodes!E:F, 2, FALSE) * H12, IF(L12="Level 2", VLOOKUP(I12, UserCodes!E:F, 2, FALSE) * H12 * 0.8, 0))</f>
        <v/>
      </c>
      <c r="K12" t="inlineStr">
        <is>
          <t>Ahmed, Jama</t>
        </is>
      </c>
      <c r="L12">
        <f>VLOOKUP(K12, UserCodes!A:B, 2, FALSE)</f>
        <v/>
      </c>
      <c r="M12" t="inlineStr">
        <is>
          <t>No schedule</t>
        </is>
      </c>
    </row>
    <row r="13">
      <c r="A13" t="inlineStr">
        <is>
          <t>Mohamed, Sumaya</t>
        </is>
      </c>
      <c r="B13" s="3" t="n">
        <v>46001</v>
      </c>
      <c r="C13" t="inlineStr">
        <is>
          <t>12:30 PM - 03:30 PM</t>
        </is>
      </c>
      <c r="D13" t="inlineStr">
        <is>
          <t>03:00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O&amp;D 
97155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Muse, Aaliya</t>
        </is>
      </c>
      <c r="L13">
        <f>VLOOKUP(K13, UserCodes!A:B, 2, FALSE)</f>
        <v/>
      </c>
    </row>
    <row r="14">
      <c r="A14" t="inlineStr">
        <is>
          <t>Abdi, Mohamed</t>
        </is>
      </c>
      <c r="B14" s="3" t="n">
        <v>46002</v>
      </c>
      <c r="C14" t="inlineStr">
        <is>
          <t>03:00 PM - 08:00 PM</t>
        </is>
      </c>
      <c r="D14" t="inlineStr">
        <is>
          <t>05:00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1/1 
97153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Omar, Mohamed</t>
        </is>
      </c>
      <c r="L14">
        <f>VLOOKUP(K14, UserCodes!A:B, 2, FALSE)</f>
        <v/>
      </c>
    </row>
    <row r="15">
      <c r="A15" t="inlineStr">
        <is>
          <t>Abdi, Mohamed</t>
        </is>
      </c>
      <c r="B15" s="3" t="n">
        <v>46002</v>
      </c>
      <c r="C15" t="inlineStr">
        <is>
          <t>04:00 PM - 07:00 PM</t>
        </is>
      </c>
      <c r="D15" t="inlineStr">
        <is>
          <t>03:00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O&amp;D 
97155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Hawadle, Abdiaziz</t>
        </is>
      </c>
      <c r="L15">
        <f>VLOOKUP(K15, UserCodes!A:B, 2, FALSE)</f>
        <v/>
      </c>
    </row>
    <row r="16">
      <c r="A16" t="inlineStr">
        <is>
          <t>Abdulkadir, Nadra</t>
        </is>
      </c>
      <c r="B16" s="3" t="n">
        <v>46002</v>
      </c>
      <c r="C16" t="inlineStr">
        <is>
          <t>01:30 PM - 06:30 PM</t>
        </is>
      </c>
      <c r="D16" t="inlineStr">
        <is>
          <t>05:00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1/1 
97153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Ali, Nasteho</t>
        </is>
      </c>
      <c r="L16">
        <f>VLOOKUP(K16, UserCodes!A:B, 2, FALSE)</f>
        <v/>
      </c>
    </row>
    <row r="17">
      <c r="A17" t="inlineStr">
        <is>
          <t>Yusuf, Khadija</t>
        </is>
      </c>
      <c r="B17" s="3" t="n">
        <v>46002</v>
      </c>
      <c r="C17" t="inlineStr">
        <is>
          <t>01:00 PM - 06:00 PM</t>
        </is>
      </c>
      <c r="D17" t="inlineStr">
        <is>
          <t>05:00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1/1 
97153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Ran, Sameya</t>
        </is>
      </c>
      <c r="L17">
        <f>VLOOKUP(K17, UserCodes!A:B, 2, FALSE)</f>
        <v/>
      </c>
    </row>
    <row r="18">
      <c r="A18" t="inlineStr">
        <is>
          <t>Abdi, Samira</t>
        </is>
      </c>
      <c r="B18" s="3" t="n">
        <v>46002</v>
      </c>
      <c r="C18" t="inlineStr">
        <is>
          <t>06:30 PM - 08:00 PM</t>
        </is>
      </c>
      <c r="D18" t="inlineStr">
        <is>
          <t>01:30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O&amp;D 
97155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Ali, Nasteho</t>
        </is>
      </c>
      <c r="L18">
        <f>VLOOKUP(K18, UserCodes!A:B, 2, FALSE)</f>
        <v/>
      </c>
    </row>
    <row r="19">
      <c r="A19" t="inlineStr">
        <is>
          <t>Abdi, Salman</t>
        </is>
      </c>
      <c r="B19" s="3" t="n">
        <v>46002</v>
      </c>
      <c r="C19" t="inlineStr">
        <is>
          <t>03:15 PM - 08:00 PM</t>
        </is>
      </c>
      <c r="D19" t="inlineStr">
        <is>
          <t>04:45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1/1 
97153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Mohamed, Mohamed</t>
        </is>
      </c>
      <c r="L19">
        <f>VLOOKUP(K19, UserCodes!A:B, 2, FALSE)</f>
        <v/>
      </c>
    </row>
    <row r="20">
      <c r="A20" t="inlineStr">
        <is>
          <t>Abdullahi, Abdirahman</t>
        </is>
      </c>
      <c r="B20" s="3" t="n">
        <v>46002</v>
      </c>
      <c r="C20" t="inlineStr">
        <is>
          <t>01:00 PM - 04:00 PM</t>
        </is>
      </c>
      <c r="D20" t="inlineStr">
        <is>
          <t>03:00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I20" t="inlineStr">
        <is>
          <t>O&amp;D 
97155</t>
        </is>
      </c>
      <c r="J20">
        <f>IF(L20="Level 1", VLOOKUP(I20, UserCodes!E:F, 2, FALSE) * H20, IF(L20="Level 2", VLOOKUP(I20, UserCodes!E:F, 2, FALSE) * H20 * 0.8, 0))</f>
        <v/>
      </c>
      <c r="K20" t="inlineStr">
        <is>
          <t>Hawadle, Abdiaziz</t>
        </is>
      </c>
      <c r="L20">
        <f>VLOOKUP(K20, UserCodes!A:B, 2, FALSE)</f>
        <v/>
      </c>
    </row>
    <row r="21">
      <c r="A21" t="inlineStr">
        <is>
          <t>Abdullahi, Abdirahman</t>
        </is>
      </c>
      <c r="B21" s="3" t="n">
        <v>46002</v>
      </c>
      <c r="C21" t="inlineStr">
        <is>
          <t>01:00 PM - 05:00 PM</t>
        </is>
      </c>
      <c r="D21" t="inlineStr">
        <is>
          <t>04:00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I21" t="inlineStr">
        <is>
          <t>1/1 
97153</t>
        </is>
      </c>
      <c r="J21">
        <f>IF(L21="Level 1", VLOOKUP(I21, UserCodes!E:F, 2, FALSE) * H21, IF(L21="Level 2", VLOOKUP(I21, UserCodes!E:F, 2, FALSE) * H21 * 0.8, 0))</f>
        <v/>
      </c>
      <c r="K21" t="inlineStr">
        <is>
          <t>ALI, AMIRA</t>
        </is>
      </c>
      <c r="L21">
        <f>VLOOKUP(K21, UserCodes!A:B, 2, FALSE)</f>
        <v/>
      </c>
    </row>
    <row r="22">
      <c r="A22" t="inlineStr">
        <is>
          <t>Abdullahi, Abdirahman</t>
        </is>
      </c>
      <c r="B22" s="3" t="n">
        <v>46002</v>
      </c>
      <c r="C22" t="inlineStr">
        <is>
          <t>09:30 AM - 11:45 AM</t>
        </is>
      </c>
      <c r="D22" t="inlineStr">
        <is>
          <t>02:15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J22">
        <f>IF(L22="Level 1", VLOOKUP(I22, UserCodes!E:F, 2, FALSE) * H22, IF(L22="Level 2", VLOOKUP(I22, UserCodes!E:F, 2, FALSE) * H22 * 0.8, 0))</f>
        <v/>
      </c>
      <c r="K22" t="inlineStr">
        <is>
          <t>Ahmed, Jama</t>
        </is>
      </c>
      <c r="L22">
        <f>VLOOKUP(K22, UserCodes!A:B, 2, FALSE)</f>
        <v/>
      </c>
      <c r="M22" t="inlineStr">
        <is>
          <t>No schedule</t>
        </is>
      </c>
    </row>
    <row r="23">
      <c r="A23" t="inlineStr">
        <is>
          <t>Abdi, Salman</t>
        </is>
      </c>
      <c r="B23" s="3" t="n">
        <v>46002</v>
      </c>
      <c r="C23" t="inlineStr">
        <is>
          <t>04:30 PM - 06:30 PM</t>
        </is>
      </c>
      <c r="D23" t="inlineStr">
        <is>
          <t>02:00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I23" t="inlineStr">
        <is>
          <t>O&amp;D 
97155</t>
        </is>
      </c>
      <c r="J23">
        <f>IF(L23="Level 1", VLOOKUP(I23, UserCodes!E:F, 2, FALSE) * H23, IF(L23="Level 2", VLOOKUP(I23, UserCodes!E:F, 2, FALSE) * H23 * 0.8, 0))</f>
        <v/>
      </c>
      <c r="K23" t="inlineStr">
        <is>
          <t>Mohamed, Madar</t>
        </is>
      </c>
      <c r="L23">
        <f>VLOOKUP(K23, UserCodes!A:B, 2, FALSE)</f>
        <v/>
      </c>
    </row>
    <row r="24">
      <c r="A24" t="inlineStr">
        <is>
          <t>Ali, Saami</t>
        </is>
      </c>
      <c r="B24" s="3" t="n">
        <v>46002</v>
      </c>
      <c r="C24" t="inlineStr">
        <is>
          <t>05:00 PM - 08:00 PM</t>
        </is>
      </c>
      <c r="D24" t="inlineStr">
        <is>
          <t>03:00</t>
        </is>
      </c>
      <c r="E24">
        <f>HOUR(D24)+MINUTE(D24)/100</f>
        <v/>
      </c>
      <c r="F24">
        <f>ROUND(INT(E24) + (E24 - INT(E24)) * 100 / 60, 2)</f>
        <v/>
      </c>
      <c r="G24">
        <f>E24*4</f>
        <v/>
      </c>
      <c r="H24">
        <f>LET(total, INT(E24)*60 + (E24-INT(E24))*100, blocks, QUOTIENT(total, 15), extra, MOD(total, 15), units, blocks + IF(extra&gt;=8, 1, 0), units)</f>
        <v/>
      </c>
      <c r="I24" t="inlineStr">
        <is>
          <t>O&amp;D 
97155</t>
        </is>
      </c>
      <c r="J24">
        <f>IF(L24="Level 1", VLOOKUP(I24, UserCodes!E:F, 2, FALSE) * H24, IF(L24="Level 2", VLOOKUP(I24, UserCodes!E:F, 2, FALSE) * H24 * 0.8, 0))</f>
        <v/>
      </c>
      <c r="K24" t="inlineStr">
        <is>
          <t>Ibrahim, Ahmed</t>
        </is>
      </c>
      <c r="L24">
        <f>VLOOKUP(K24, UserCodes!A:B, 2, FALSE)</f>
        <v/>
      </c>
    </row>
    <row r="25">
      <c r="A25" t="inlineStr">
        <is>
          <t>Abdi, Safia</t>
        </is>
      </c>
      <c r="B25" s="3" t="n">
        <v>46002</v>
      </c>
      <c r="C25" t="inlineStr">
        <is>
          <t>05:00 PM - 08:00 PM</t>
        </is>
      </c>
      <c r="D25" t="inlineStr">
        <is>
          <t>03:00</t>
        </is>
      </c>
      <c r="E25">
        <f>HOUR(D25)+MINUTE(D25)/100</f>
        <v/>
      </c>
      <c r="F25">
        <f>ROUND(INT(E25) + (E25 - INT(E25)) * 100 / 60, 2)</f>
        <v/>
      </c>
      <c r="G25">
        <f>E25*4</f>
        <v/>
      </c>
      <c r="H25">
        <f>LET(total, INT(E25)*60 + (E25-INT(E25))*100, blocks, QUOTIENT(total, 15), extra, MOD(total, 15), units, blocks + IF(extra&gt;=8, 1, 0), units)</f>
        <v/>
      </c>
      <c r="I25" t="inlineStr">
        <is>
          <t>O&amp;D 
97155</t>
        </is>
      </c>
      <c r="J25">
        <f>IF(L25="Level 1", VLOOKUP(I25, UserCodes!E:F, 2, FALSE) * H25, IF(L25="Level 2", VLOOKUP(I25, UserCodes!E:F, 2, FALSE) * H25 * 0.8, 0))</f>
        <v/>
      </c>
      <c r="K25" t="inlineStr">
        <is>
          <t>Muse, Adna</t>
        </is>
      </c>
      <c r="L25">
        <f>VLOOKUP(K25, UserCodes!A:B, 2, FALSE)</f>
        <v/>
      </c>
    </row>
    <row r="26">
      <c r="A26" t="inlineStr">
        <is>
          <t>Abdulkadir, Nadra</t>
        </is>
      </c>
      <c r="B26" s="3" t="n">
        <v>46002</v>
      </c>
      <c r="C26" t="inlineStr">
        <is>
          <t>11:30am - 02:30pm</t>
        </is>
      </c>
      <c r="E26">
        <f>HOUR(D26)+MINUTE(D26)/100</f>
        <v/>
      </c>
      <c r="F26">
        <f>ROUND(INT(E26) + (E26 - INT(E26)) * 100 / 60, 2)</f>
        <v/>
      </c>
      <c r="G26">
        <f>E26*4</f>
        <v/>
      </c>
      <c r="H26">
        <f>LET(total, INT(E26)*60 + (E26-INT(E26))*100, blocks, QUOTIENT(total, 15), extra, MOD(total, 15), units, blocks + IF(extra&gt;=8, 1, 0), units)</f>
        <v/>
      </c>
      <c r="I26" t="inlineStr">
        <is>
          <t>O&amp;D 
97155</t>
        </is>
      </c>
      <c r="J26">
        <f>IF(L26="Level 1", VLOOKUP(I26, UserCodes!E:F, 2, FALSE) * H26, IF(L26="Level 2", VLOOKUP(I26, UserCodes!E:F, 2, FALSE) * H26 * 0.8, 0))</f>
        <v/>
      </c>
      <c r="K26" t="inlineStr">
        <is>
          <t>mohamed, Madar</t>
        </is>
      </c>
      <c r="L26">
        <f>VLOOKUP(K26, UserCodes!A:B, 2, FALSE)</f>
        <v/>
      </c>
      <c r="M26" t="inlineStr">
        <is>
          <t>No note</t>
        </is>
      </c>
    </row>
    <row r="27">
      <c r="A27" t="inlineStr">
        <is>
          <t>Yusuf 2, Khadra</t>
        </is>
      </c>
      <c r="B27" s="3" t="n">
        <v>46002</v>
      </c>
      <c r="C27" t="inlineStr">
        <is>
          <t>01:00 PM - 03:00 PM</t>
        </is>
      </c>
      <c r="D27" t="inlineStr">
        <is>
          <t>02:00</t>
        </is>
      </c>
      <c r="E27">
        <f>HOUR(D27)+MINUTE(D27)/100</f>
        <v/>
      </c>
      <c r="F27">
        <f>ROUND(INT(E27) + (E27 - INT(E27)) * 100 / 60, 2)</f>
        <v/>
      </c>
      <c r="G27">
        <f>E27*4</f>
        <v/>
      </c>
      <c r="H27">
        <f>LET(total, INT(E27)*60 + (E27-INT(E27))*100, blocks, QUOTIENT(total, 15), extra, MOD(total, 15), units, blocks + IF(extra&gt;=8, 1, 0), units)</f>
        <v/>
      </c>
      <c r="I27" t="inlineStr">
        <is>
          <t>O&amp;D 
97155</t>
        </is>
      </c>
      <c r="J27">
        <f>IF(L27="Level 1", VLOOKUP(I27, UserCodes!E:F, 2, FALSE) * H27, IF(L27="Level 2", VLOOKUP(I27, UserCodes!E:F, 2, FALSE) * H27 * 0.8, 0))</f>
        <v/>
      </c>
      <c r="K27" t="inlineStr">
        <is>
          <t>Muse, Ayni</t>
        </is>
      </c>
      <c r="L27">
        <f>VLOOKUP(K27, UserCodes!A:B, 2, FALSE)</f>
        <v/>
      </c>
    </row>
    <row r="28">
      <c r="A28" t="inlineStr">
        <is>
          <t>Yusuf 2, Khadra</t>
        </is>
      </c>
      <c r="B28" s="3" t="n">
        <v>46002</v>
      </c>
      <c r="C28" t="inlineStr">
        <is>
          <t>01:00 PM - 06:00 PM</t>
        </is>
      </c>
      <c r="D28" t="inlineStr">
        <is>
          <t>05:00</t>
        </is>
      </c>
      <c r="E28">
        <f>HOUR(D28)+MINUTE(D28)/100</f>
        <v/>
      </c>
      <c r="F28">
        <f>ROUND(INT(E28) + (E28 - INT(E28)) * 100 / 60, 2)</f>
        <v/>
      </c>
      <c r="G28">
        <f>E28*4</f>
        <v/>
      </c>
      <c r="H28">
        <f>LET(total, INT(E28)*60 + (E28-INT(E28))*100, blocks, QUOTIENT(total, 15), extra, MOD(total, 15), units, blocks + IF(extra&gt;=8, 1, 0), units)</f>
        <v/>
      </c>
      <c r="I28" t="inlineStr">
        <is>
          <t>1/1 
97153</t>
        </is>
      </c>
      <c r="J28">
        <f>IF(L28="Level 1", VLOOKUP(I28, UserCodes!E:F, 2, FALSE) * H28, IF(L28="Level 2", VLOOKUP(I28, UserCodes!E:F, 2, FALSE) * H28 * 0.8, 0))</f>
        <v/>
      </c>
      <c r="K28" t="inlineStr">
        <is>
          <t>Hashi, Ridwan</t>
        </is>
      </c>
      <c r="L28">
        <f>VLOOKUP(K28, UserCodes!A:B, 2, FALSE)</f>
        <v/>
      </c>
    </row>
    <row r="29">
      <c r="A29" t="inlineStr">
        <is>
          <t>Sulub, Sharmake</t>
        </is>
      </c>
      <c r="B29" s="3" t="n">
        <v>46002</v>
      </c>
      <c r="C29" t="inlineStr">
        <is>
          <t>04:00 PM - 08:00 PM</t>
        </is>
      </c>
      <c r="D29" t="inlineStr">
        <is>
          <t>04:00</t>
        </is>
      </c>
      <c r="E29">
        <f>HOUR(D29)+MINUTE(D29)/100</f>
        <v/>
      </c>
      <c r="F29">
        <f>ROUND(INT(E29) + (E29 - INT(E29)) * 100 / 60, 2)</f>
        <v/>
      </c>
      <c r="G29">
        <f>E29*4</f>
        <v/>
      </c>
      <c r="H29">
        <f>LET(total, INT(E29)*60 + (E29-INT(E29))*100, blocks, QUOTIENT(total, 15), extra, MOD(total, 15), units, blocks + IF(extra&gt;=8, 1, 0), units)</f>
        <v/>
      </c>
      <c r="I29" t="inlineStr">
        <is>
          <t>1/1 
97153</t>
        </is>
      </c>
      <c r="J29">
        <f>IF(L29="Level 1", VLOOKUP(I29, UserCodes!E:F, 2, FALSE) * H29, IF(L29="Level 2", VLOOKUP(I29, UserCodes!E:F, 2, FALSE) * H29 * 0.8, 0))</f>
        <v/>
      </c>
      <c r="K29" t="inlineStr">
        <is>
          <t>Osman, Basra</t>
        </is>
      </c>
      <c r="L29">
        <f>VLOOKUP(K29, UserCodes!A:B, 2, FALSE)</f>
        <v/>
      </c>
    </row>
    <row r="30">
      <c r="A30" t="inlineStr">
        <is>
          <t>Kadir, Hamdi</t>
        </is>
      </c>
      <c r="B30" s="3" t="n">
        <v>46002</v>
      </c>
      <c r="C30" t="inlineStr">
        <is>
          <t>02:00 PM - 08:00 PM</t>
        </is>
      </c>
      <c r="D30" t="inlineStr">
        <is>
          <t>06:00</t>
        </is>
      </c>
      <c r="E30">
        <f>HOUR(D30)+MINUTE(D30)/100</f>
        <v/>
      </c>
      <c r="F30">
        <f>ROUND(INT(E30) + (E30 - INT(E30)) * 100 / 60, 2)</f>
        <v/>
      </c>
      <c r="G30">
        <f>E30*4</f>
        <v/>
      </c>
      <c r="H30">
        <f>LET(total, INT(E30)*60 + (E30-INT(E30))*100, blocks, QUOTIENT(total, 15), extra, MOD(total, 15), units, blocks + IF(extra&gt;=8, 1, 0), units)</f>
        <v/>
      </c>
      <c r="I30" t="inlineStr">
        <is>
          <t>1/1 
97153</t>
        </is>
      </c>
      <c r="J30">
        <f>IF(L30="Level 1", VLOOKUP(I30, UserCodes!E:F, 2, FALSE) * H30, IF(L30="Level 2", VLOOKUP(I30, UserCodes!E:F, 2, FALSE) * H30 * 0.8, 0))</f>
        <v/>
      </c>
      <c r="K30" t="inlineStr">
        <is>
          <t>Mohamed, Samsam</t>
        </is>
      </c>
      <c r="L30">
        <f>VLOOKUP(K30, UserCodes!A:B, 2, FALSE)</f>
        <v/>
      </c>
    </row>
    <row r="31">
      <c r="A31" t="inlineStr">
        <is>
          <t>Kadir, Hamdi</t>
        </is>
      </c>
      <c r="B31" s="3" t="n">
        <v>46002</v>
      </c>
      <c r="C31" t="inlineStr">
        <is>
          <t>02:00 PM - 05:00 PM</t>
        </is>
      </c>
      <c r="D31" t="inlineStr">
        <is>
          <t>03:00</t>
        </is>
      </c>
      <c r="E31">
        <f>HOUR(D31)+MINUTE(D31)/100</f>
        <v/>
      </c>
      <c r="F31">
        <f>ROUND(INT(E31) + (E31 - INT(E31)) * 100 / 60, 2)</f>
        <v/>
      </c>
      <c r="G31">
        <f>E31*4</f>
        <v/>
      </c>
      <c r="H31">
        <f>LET(total, INT(E31)*60 + (E31-INT(E31))*100, blocks, QUOTIENT(total, 15), extra, MOD(total, 15), units, blocks + IF(extra&gt;=8, 1, 0), units)</f>
        <v/>
      </c>
      <c r="I31" t="inlineStr">
        <is>
          <t>O&amp;D 
97155</t>
        </is>
      </c>
      <c r="J31">
        <f>IF(L31="Level 1", VLOOKUP(I31, UserCodes!E:F, 2, FALSE) * H31, IF(L31="Level 2", VLOOKUP(I31, UserCodes!E:F, 2, FALSE) * H31 * 0.8, 0))</f>
        <v/>
      </c>
      <c r="K31" t="inlineStr">
        <is>
          <t>Muse, Adna</t>
        </is>
      </c>
      <c r="L31">
        <f>VLOOKUP(K31, UserCodes!A:B, 2, FALSE)</f>
        <v/>
      </c>
    </row>
    <row r="32">
      <c r="A32" t="inlineStr">
        <is>
          <t>Abdi, Safia</t>
        </is>
      </c>
      <c r="B32" s="3" t="n">
        <v>46002</v>
      </c>
      <c r="C32" t="inlineStr">
        <is>
          <t>03:00 PM - 08:00 PM</t>
        </is>
      </c>
      <c r="D32" t="inlineStr">
        <is>
          <t>05:00</t>
        </is>
      </c>
      <c r="E32">
        <f>HOUR(D32)+MINUTE(D32)/100</f>
        <v/>
      </c>
      <c r="F32">
        <f>ROUND(INT(E32) + (E32 - INT(E32)) * 100 / 60, 2)</f>
        <v/>
      </c>
      <c r="G32">
        <f>E32*4</f>
        <v/>
      </c>
      <c r="H32">
        <f>LET(total, INT(E32)*60 + (E32-INT(E32))*100, blocks, QUOTIENT(total, 15), extra, MOD(total, 15), units, blocks + IF(extra&gt;=8, 1, 0), units)</f>
        <v/>
      </c>
      <c r="I32" t="inlineStr">
        <is>
          <t>1/1 
97153</t>
        </is>
      </c>
      <c r="J32">
        <f>IF(L32="Level 1", VLOOKUP(I32, UserCodes!E:F, 2, FALSE) * H32, IF(L32="Level 2", VLOOKUP(I32, UserCodes!E:F, 2, FALSE) * H32 * 0.8, 0))</f>
        <v/>
      </c>
      <c r="K32" t="inlineStr">
        <is>
          <t>Muse, Ayni</t>
        </is>
      </c>
      <c r="L32">
        <f>VLOOKUP(K32, UserCodes!A:B, 2, FALSE)</f>
        <v/>
      </c>
    </row>
    <row r="33">
      <c r="A33" t="inlineStr">
        <is>
          <t>Abdi, Samira</t>
        </is>
      </c>
      <c r="B33" s="3" t="n">
        <v>46002</v>
      </c>
      <c r="C33" t="inlineStr">
        <is>
          <t>05:00 PM - 06:00 PM</t>
        </is>
      </c>
      <c r="D33" t="inlineStr">
        <is>
          <t>01:00</t>
        </is>
      </c>
      <c r="E33">
        <f>HOUR(D33)+MINUTE(D33)/100</f>
        <v/>
      </c>
      <c r="F33">
        <f>ROUND(INT(E33) + (E33 - INT(E33)) * 100 / 60, 2)</f>
        <v/>
      </c>
      <c r="G33">
        <f>E33*4</f>
        <v/>
      </c>
      <c r="H33">
        <f>LET(total, INT(E33)*60 + (E33-INT(E33))*100, blocks, QUOTIENT(total, 15), extra, MOD(total, 15), units, blocks + IF(extra&gt;=8, 1, 0), units)</f>
        <v/>
      </c>
      <c r="J33">
        <f>IF(L33="Level 1", VLOOKUP(I33, UserCodes!E:F, 2, FALSE) * H33, IF(L33="Level 2", VLOOKUP(I33, UserCodes!E:F, 2, FALSE) * H33 * 0.8, 0))</f>
        <v/>
      </c>
      <c r="K33" t="inlineStr">
        <is>
          <t>El-Tay, Dr. Ismael</t>
        </is>
      </c>
      <c r="L33">
        <f>VLOOKUP(K33, UserCodes!A:B, 2, FALSE)</f>
        <v/>
      </c>
      <c r="M33" t="inlineStr">
        <is>
          <t>No schedule</t>
        </is>
      </c>
    </row>
    <row r="34">
      <c r="A34" t="inlineStr">
        <is>
          <t>Yusuf, Khadija</t>
        </is>
      </c>
      <c r="B34" s="3" t="n">
        <v>46002</v>
      </c>
      <c r="C34" t="inlineStr">
        <is>
          <t>01:00 PM - 04:00 PM</t>
        </is>
      </c>
      <c r="D34" t="inlineStr">
        <is>
          <t>03:00</t>
        </is>
      </c>
      <c r="E34">
        <f>HOUR(D34)+MINUTE(D34)/100</f>
        <v/>
      </c>
      <c r="F34">
        <f>ROUND(INT(E34) + (E34 - INT(E34)) * 100 / 60, 2)</f>
        <v/>
      </c>
      <c r="G34">
        <f>E34*4</f>
        <v/>
      </c>
      <c r="H34">
        <f>LET(total, INT(E34)*60 + (E34-INT(E34))*100, blocks, QUOTIENT(total, 15), extra, MOD(total, 15), units, blocks + IF(extra&gt;=8, 1, 0), units)</f>
        <v/>
      </c>
      <c r="I34" t="inlineStr">
        <is>
          <t>1/1 
97153</t>
        </is>
      </c>
      <c r="J34">
        <f>IF(L34="Level 1", VLOOKUP(I34, UserCodes!E:F, 2, FALSE) * H34, IF(L34="Level 2", VLOOKUP(I34, UserCodes!E:F, 2, FALSE) * H34 * 0.8, 0))</f>
        <v/>
      </c>
      <c r="K34" t="inlineStr">
        <is>
          <t>Noor, Kamilo</t>
        </is>
      </c>
      <c r="L34">
        <f>VLOOKUP(K34, UserCodes!A:B, 2, FALSE)</f>
        <v/>
      </c>
    </row>
    <row r="35">
      <c r="A35" t="inlineStr">
        <is>
          <t>Jama, Khadija</t>
        </is>
      </c>
      <c r="B35" s="3" t="n">
        <v>46002</v>
      </c>
      <c r="C35" t="inlineStr">
        <is>
          <t>04:30 PM - 08:00 PM</t>
        </is>
      </c>
      <c r="D35" t="inlineStr">
        <is>
          <t>03:30</t>
        </is>
      </c>
      <c r="E35">
        <f>HOUR(D35)+MINUTE(D35)/100</f>
        <v/>
      </c>
      <c r="F35">
        <f>ROUND(INT(E35) + (E35 - INT(E35)) * 100 / 60, 2)</f>
        <v/>
      </c>
      <c r="G35">
        <f>E35*4</f>
        <v/>
      </c>
      <c r="H35">
        <f>LET(total, INT(E35)*60 + (E35-INT(E35))*100, blocks, QUOTIENT(total, 15), extra, MOD(total, 15), units, blocks + IF(extra&gt;=8, 1, 0), units)</f>
        <v/>
      </c>
      <c r="I35" t="inlineStr">
        <is>
          <t>1/1 
97153</t>
        </is>
      </c>
      <c r="J35">
        <f>IF(L35="Level 1", VLOOKUP(I35, UserCodes!E:F, 2, FALSE) * H35, IF(L35="Level 2", VLOOKUP(I35, UserCodes!E:F, 2, FALSE) * H35 * 0.8, 0))</f>
        <v/>
      </c>
      <c r="K35" t="inlineStr">
        <is>
          <t>Noor, Kamilo</t>
        </is>
      </c>
      <c r="L35">
        <f>VLOOKUP(K35, UserCodes!A:B, 2, FALSE)</f>
        <v/>
      </c>
    </row>
    <row r="36">
      <c r="A36" t="inlineStr">
        <is>
          <t>Ali, Saami</t>
        </is>
      </c>
      <c r="B36" s="3" t="n">
        <v>46002</v>
      </c>
      <c r="C36" t="inlineStr">
        <is>
          <t>03:50 PM - 08:00 PM</t>
        </is>
      </c>
      <c r="D36" t="inlineStr">
        <is>
          <t>04:10</t>
        </is>
      </c>
      <c r="E36">
        <f>HOUR(D36)+MINUTE(D36)/100</f>
        <v/>
      </c>
      <c r="F36">
        <f>ROUND(INT(E36) + (E36 - INT(E36)) * 100 / 60, 2)</f>
        <v/>
      </c>
      <c r="G36">
        <f>E36*4</f>
        <v/>
      </c>
      <c r="H36">
        <f>LET(total, INT(E36)*60 + (E36-INT(E36))*100, blocks, QUOTIENT(total, 15), extra, MOD(total, 15), units, blocks + IF(extra&gt;=8, 1, 0), units)</f>
        <v/>
      </c>
      <c r="I36" t="inlineStr">
        <is>
          <t>1/1 
97153</t>
        </is>
      </c>
      <c r="J36">
        <f>IF(L36="Level 1", VLOOKUP(I36, UserCodes!E:F, 2, FALSE) * H36, IF(L36="Level 2", VLOOKUP(I36, UserCodes!E:F, 2, FALSE) * H36 * 0.8, 0))</f>
        <v/>
      </c>
      <c r="K36" t="inlineStr">
        <is>
          <t>Muse, Aaliya</t>
        </is>
      </c>
      <c r="L36">
        <f>VLOOKUP(K36, UserCodes!A:B, 2, FALSE)</f>
        <v/>
      </c>
    </row>
    <row r="37">
      <c r="A37" t="inlineStr">
        <is>
          <t>Abdi, Samira</t>
        </is>
      </c>
      <c r="B37" s="3" t="n">
        <v>46002</v>
      </c>
      <c r="C37" t="inlineStr">
        <is>
          <t>04:00 PM - 08:00 PM</t>
        </is>
      </c>
      <c r="D37" t="inlineStr">
        <is>
          <t>04:00</t>
        </is>
      </c>
      <c r="E37">
        <f>HOUR(D37)+MINUTE(D37)/100</f>
        <v/>
      </c>
      <c r="F37">
        <f>ROUND(INT(E37) + (E37 - INT(E37)) * 100 / 60, 2)</f>
        <v/>
      </c>
      <c r="G37">
        <f>E37*4</f>
        <v/>
      </c>
      <c r="H37">
        <f>LET(total, INT(E37)*60 + (E37-INT(E37))*100, blocks, QUOTIENT(total, 15), extra, MOD(total, 15), units, blocks + IF(extra&gt;=8, 1, 0), units)</f>
        <v/>
      </c>
      <c r="I37" t="inlineStr">
        <is>
          <t>1/1 
97153</t>
        </is>
      </c>
      <c r="J37">
        <f>IF(L37="Level 1", VLOOKUP(I37, UserCodes!E:F, 2, FALSE) * H37, IF(L37="Level 2", VLOOKUP(I37, UserCodes!E:F, 2, FALSE) * H37 * 0.8, 0))</f>
        <v/>
      </c>
      <c r="K37" t="inlineStr">
        <is>
          <t>Muse, Nawaal</t>
        </is>
      </c>
      <c r="L37">
        <f>VLOOKUP(K37, UserCodes!A:B, 2, FALSE)</f>
        <v/>
      </c>
    </row>
    <row r="38">
      <c r="A38" t="inlineStr">
        <is>
          <t>Abdi, Safia</t>
        </is>
      </c>
      <c r="B38" s="3" t="n">
        <v>46002</v>
      </c>
      <c r="C38" t="inlineStr">
        <is>
          <t>01:28 PM - 03:50 PM</t>
        </is>
      </c>
      <c r="D38" t="inlineStr">
        <is>
          <t>02:22</t>
        </is>
      </c>
      <c r="E38">
        <f>HOUR(D38)+MINUTE(D38)/100</f>
        <v/>
      </c>
      <c r="F38">
        <f>ROUND(INT(E38) + (E38 - INT(E38)) * 100 / 60, 2)</f>
        <v/>
      </c>
      <c r="G38">
        <f>E38*4</f>
        <v/>
      </c>
      <c r="H38">
        <f>LET(total, INT(E38)*60 + (E38-INT(E38))*100, blocks, QUOTIENT(total, 15), extra, MOD(total, 15), units, blocks + IF(extra&gt;=8, 1, 0), units)</f>
        <v/>
      </c>
      <c r="J38">
        <f>IF(L38="Level 1", VLOOKUP(I38, UserCodes!E:F, 2, FALSE) * H38, IF(L38="Level 2", VLOOKUP(I38, UserCodes!E:F, 2, FALSE) * H38 * 0.8, 0))</f>
        <v/>
      </c>
      <c r="K38" t="inlineStr">
        <is>
          <t>Ahmed, Jama</t>
        </is>
      </c>
      <c r="L38">
        <f>VLOOKUP(K38, UserCodes!A:B, 2, FALSE)</f>
        <v/>
      </c>
      <c r="M38" t="inlineStr">
        <is>
          <t>No schedule</t>
        </is>
      </c>
    </row>
    <row r="39">
      <c r="A39" t="inlineStr">
        <is>
          <t>Yusuf, Khadija</t>
        </is>
      </c>
      <c r="B39" s="3" t="n">
        <v>46003</v>
      </c>
      <c r="C39" t="inlineStr">
        <is>
          <t>02:00 PM - 05:00 PM</t>
        </is>
      </c>
      <c r="D39" t="inlineStr">
        <is>
          <t>03:00</t>
        </is>
      </c>
      <c r="E39">
        <f>HOUR(D39)+MINUTE(D39)/100</f>
        <v/>
      </c>
      <c r="F39">
        <f>ROUND(INT(E39) + (E39 - INT(E39)) * 100 / 60, 2)</f>
        <v/>
      </c>
      <c r="G39">
        <f>E39*4</f>
        <v/>
      </c>
      <c r="H39">
        <f>LET(total, INT(E39)*60 + (E39-INT(E39))*100, blocks, QUOTIENT(total, 15), extra, MOD(total, 15), units, blocks + IF(extra&gt;=8, 1, 0), units)</f>
        <v/>
      </c>
      <c r="I39" t="inlineStr">
        <is>
          <t>O&amp;D 
97155</t>
        </is>
      </c>
      <c r="J39">
        <f>IF(L39="Level 1", VLOOKUP(I39, UserCodes!E:F, 2, FALSE) * H39, IF(L39="Level 2", VLOOKUP(I39, UserCodes!E:F, 2, FALSE) * H39 * 0.8, 0))</f>
        <v/>
      </c>
      <c r="K39" t="inlineStr">
        <is>
          <t>Noor, Kamilo</t>
        </is>
      </c>
      <c r="L39">
        <f>VLOOKUP(K39, UserCodes!A:B, 2, FALSE)</f>
        <v/>
      </c>
    </row>
    <row r="40">
      <c r="A40" t="inlineStr">
        <is>
          <t>Abdi, Samira</t>
        </is>
      </c>
      <c r="B40" s="3" t="n">
        <v>46003</v>
      </c>
      <c r="C40" t="inlineStr">
        <is>
          <t>04:00 PM - 08:00 PM</t>
        </is>
      </c>
      <c r="D40" t="inlineStr">
        <is>
          <t>04:00</t>
        </is>
      </c>
      <c r="E40">
        <f>HOUR(D40)+MINUTE(D40)/100</f>
        <v/>
      </c>
      <c r="F40">
        <f>ROUND(INT(E40) + (E40 - INT(E40)) * 100 / 60, 2)</f>
        <v/>
      </c>
      <c r="G40">
        <f>E40*4</f>
        <v/>
      </c>
      <c r="H40">
        <f>LET(total, INT(E40)*60 + (E40-INT(E40))*100, blocks, QUOTIENT(total, 15), extra, MOD(total, 15), units, blocks + IF(extra&gt;=8, 1, 0), units)</f>
        <v/>
      </c>
      <c r="I40" t="inlineStr">
        <is>
          <t>1/1 
97153</t>
        </is>
      </c>
      <c r="J40">
        <f>IF(L40="Level 1", VLOOKUP(I40, UserCodes!E:F, 2, FALSE) * H40, IF(L40="Level 2", VLOOKUP(I40, UserCodes!E:F, 2, FALSE) * H40 * 0.8, 0))</f>
        <v/>
      </c>
      <c r="K40" t="inlineStr">
        <is>
          <t>Muse, Ayni</t>
        </is>
      </c>
      <c r="L40">
        <f>VLOOKUP(K40, UserCodes!A:B, 2, FALSE)</f>
        <v/>
      </c>
    </row>
    <row r="41">
      <c r="A41" t="inlineStr">
        <is>
          <t>Abdi, Samira</t>
        </is>
      </c>
      <c r="B41" s="3" t="n">
        <v>46003</v>
      </c>
      <c r="C41" t="inlineStr">
        <is>
          <t>09:00 AM - 11:30 AM</t>
        </is>
      </c>
      <c r="D41" t="inlineStr">
        <is>
          <t>02:30</t>
        </is>
      </c>
      <c r="E41">
        <f>HOUR(D41)+MINUTE(D41)/100</f>
        <v/>
      </c>
      <c r="F41">
        <f>ROUND(INT(E41) + (E41 - INT(E41)) * 100 / 60, 2)</f>
        <v/>
      </c>
      <c r="G41">
        <f>E41*4</f>
        <v/>
      </c>
      <c r="H41">
        <f>LET(total, INT(E41)*60 + (E41-INT(E41))*100, blocks, QUOTIENT(total, 15), extra, MOD(total, 15), units, blocks + IF(extra&gt;=8, 1, 0), units)</f>
        <v/>
      </c>
      <c r="J41">
        <f>IF(L41="Level 1", VLOOKUP(I41, UserCodes!E:F, 2, FALSE) * H41, IF(L41="Level 2", VLOOKUP(I41, UserCodes!E:F, 2, FALSE) * H41 * 0.8, 0))</f>
        <v/>
      </c>
      <c r="K41" t="inlineStr">
        <is>
          <t>Ahmed, Jama</t>
        </is>
      </c>
      <c r="L41">
        <f>VLOOKUP(K41, UserCodes!A:B, 2, FALSE)</f>
        <v/>
      </c>
      <c r="M41" t="inlineStr">
        <is>
          <t>No schedule</t>
        </is>
      </c>
    </row>
    <row r="42">
      <c r="A42" t="inlineStr">
        <is>
          <t>Abdi, Safia</t>
        </is>
      </c>
      <c r="B42" s="3" t="n">
        <v>46003</v>
      </c>
      <c r="C42" t="inlineStr">
        <is>
          <t>03:30 PM - 06:15 PM</t>
        </is>
      </c>
      <c r="D42" t="inlineStr">
        <is>
          <t>02:45</t>
        </is>
      </c>
      <c r="E42">
        <f>HOUR(D42)+MINUTE(D42)/100</f>
        <v/>
      </c>
      <c r="F42">
        <f>ROUND(INT(E42) + (E42 - INT(E42)) * 100 / 60, 2)</f>
        <v/>
      </c>
      <c r="G42">
        <f>E42*4</f>
        <v/>
      </c>
      <c r="H42">
        <f>LET(total, INT(E42)*60 + (E42-INT(E42))*100, blocks, QUOTIENT(total, 15), extra, MOD(total, 15), units, blocks + IF(extra&gt;=8, 1, 0), units)</f>
        <v/>
      </c>
      <c r="I42" t="inlineStr">
        <is>
          <t>O&amp;D 
97155</t>
        </is>
      </c>
      <c r="J42">
        <f>IF(L42="Level 1", VLOOKUP(I42, UserCodes!E:F, 2, FALSE) * H42, IF(L42="Level 2", VLOOKUP(I42, UserCodes!E:F, 2, FALSE) * H42 * 0.8, 0))</f>
        <v/>
      </c>
      <c r="K42" t="inlineStr">
        <is>
          <t>Muse, Adna</t>
        </is>
      </c>
      <c r="L42">
        <f>VLOOKUP(K42, UserCodes!A:B, 2, FALSE)</f>
        <v/>
      </c>
    </row>
    <row r="43">
      <c r="A43" t="inlineStr">
        <is>
          <t>Yusuf, Khadija</t>
        </is>
      </c>
      <c r="B43" s="3" t="n">
        <v>46003</v>
      </c>
      <c r="C43" t="inlineStr">
        <is>
          <t>01:00 PM - 06:00 PM</t>
        </is>
      </c>
      <c r="D43" t="inlineStr">
        <is>
          <t>05:00</t>
        </is>
      </c>
      <c r="E43">
        <f>HOUR(D43)+MINUTE(D43)/100</f>
        <v/>
      </c>
      <c r="F43">
        <f>ROUND(INT(E43) + (E43 - INT(E43)) * 100 / 60, 2)</f>
        <v/>
      </c>
      <c r="G43">
        <f>E43*4</f>
        <v/>
      </c>
      <c r="H43">
        <f>LET(total, INT(E43)*60 + (E43-INT(E43))*100, blocks, QUOTIENT(total, 15), extra, MOD(total, 15), units, blocks + IF(extra&gt;=8, 1, 0), units)</f>
        <v/>
      </c>
      <c r="I43" t="inlineStr">
        <is>
          <t>1/1 
97153</t>
        </is>
      </c>
      <c r="J43">
        <f>IF(L43="Level 1", VLOOKUP(I43, UserCodes!E:F, 2, FALSE) * H43, IF(L43="Level 2", VLOOKUP(I43, UserCodes!E:F, 2, FALSE) * H43 * 0.8, 0))</f>
        <v/>
      </c>
      <c r="K43" t="inlineStr">
        <is>
          <t>Hashi, Ridwan</t>
        </is>
      </c>
      <c r="L43">
        <f>VLOOKUP(K43, UserCodes!A:B, 2, FALSE)</f>
        <v/>
      </c>
    </row>
    <row r="44">
      <c r="A44" t="inlineStr">
        <is>
          <t>Abdi, Salman</t>
        </is>
      </c>
      <c r="B44" s="3" t="n">
        <v>46003</v>
      </c>
      <c r="C44" t="inlineStr">
        <is>
          <t>03:15 PM - 08:00 PM</t>
        </is>
      </c>
      <c r="D44" t="inlineStr">
        <is>
          <t>04:45</t>
        </is>
      </c>
      <c r="E44">
        <f>HOUR(D44)+MINUTE(D44)/100</f>
        <v/>
      </c>
      <c r="F44">
        <f>ROUND(INT(E44) + (E44 - INT(E44)) * 100 / 60, 2)</f>
        <v/>
      </c>
      <c r="G44">
        <f>E44*4</f>
        <v/>
      </c>
      <c r="H44">
        <f>LET(total, INT(E44)*60 + (E44-INT(E44))*100, blocks, QUOTIENT(total, 15), extra, MOD(total, 15), units, blocks + IF(extra&gt;=8, 1, 0), units)</f>
        <v/>
      </c>
      <c r="I44" t="inlineStr">
        <is>
          <t>1/1 
97153</t>
        </is>
      </c>
      <c r="J44">
        <f>IF(L44="Level 1", VLOOKUP(I44, UserCodes!E:F, 2, FALSE) * H44, IF(L44="Level 2", VLOOKUP(I44, UserCodes!E:F, 2, FALSE) * H44 * 0.8, 0))</f>
        <v/>
      </c>
      <c r="K44" t="inlineStr">
        <is>
          <t>Omar, Mohamed</t>
        </is>
      </c>
      <c r="L44">
        <f>VLOOKUP(K44, UserCodes!A:B, 2, FALSE)</f>
        <v/>
      </c>
    </row>
    <row r="45">
      <c r="A45" t="inlineStr">
        <is>
          <t>Abdullahi, Abdirahman</t>
        </is>
      </c>
      <c r="B45" s="3" t="n">
        <v>46003</v>
      </c>
      <c r="C45" t="inlineStr">
        <is>
          <t>12:00 PM - 03:00 PM</t>
        </is>
      </c>
      <c r="D45" t="inlineStr">
        <is>
          <t>03:00</t>
        </is>
      </c>
      <c r="E45">
        <f>HOUR(D45)+MINUTE(D45)/100</f>
        <v/>
      </c>
      <c r="F45">
        <f>ROUND(INT(E45) + (E45 - INT(E45)) * 100 / 60, 2)</f>
        <v/>
      </c>
      <c r="G45">
        <f>E45*4</f>
        <v/>
      </c>
      <c r="H45">
        <f>LET(total, INT(E45)*60 + (E45-INT(E45))*100, blocks, QUOTIENT(total, 15), extra, MOD(total, 15), units, blocks + IF(extra&gt;=8, 1, 0), units)</f>
        <v/>
      </c>
      <c r="I45" t="inlineStr">
        <is>
          <t>O&amp;D 
97155</t>
        </is>
      </c>
      <c r="J45">
        <f>IF(L45="Level 1", VLOOKUP(I45, UserCodes!E:F, 2, FALSE) * H45, IF(L45="Level 2", VLOOKUP(I45, UserCodes!E:F, 2, FALSE) * H45 * 0.8, 0))</f>
        <v/>
      </c>
      <c r="K45" t="inlineStr">
        <is>
          <t>Hawadle, Abdiaziz</t>
        </is>
      </c>
      <c r="L45">
        <f>VLOOKUP(K45, UserCodes!A:B, 2, FALSE)</f>
        <v/>
      </c>
    </row>
    <row r="46">
      <c r="A46" t="inlineStr">
        <is>
          <t>Abdulkadir, Nadra</t>
        </is>
      </c>
      <c r="B46" s="3" t="n">
        <v>46003</v>
      </c>
      <c r="C46" t="inlineStr">
        <is>
          <t>01:00 PM - 04:30 PM</t>
        </is>
      </c>
      <c r="D46" t="inlineStr">
        <is>
          <t>03:30</t>
        </is>
      </c>
      <c r="E46">
        <f>HOUR(D46)+MINUTE(D46)/100</f>
        <v/>
      </c>
      <c r="F46">
        <f>ROUND(INT(E46) + (E46 - INT(E46)) * 100 / 60, 2)</f>
        <v/>
      </c>
      <c r="G46">
        <f>E46*4</f>
        <v/>
      </c>
      <c r="H46">
        <f>LET(total, INT(E46)*60 + (E46-INT(E46))*100, blocks, QUOTIENT(total, 15), extra, MOD(total, 15), units, blocks + IF(extra&gt;=8, 1, 0), units)</f>
        <v/>
      </c>
      <c r="I46" t="inlineStr">
        <is>
          <t>O&amp;D 
97155</t>
        </is>
      </c>
      <c r="J46">
        <f>IF(L46="Level 1", VLOOKUP(I46, UserCodes!E:F, 2, FALSE) * H46, IF(L46="Level 2", VLOOKUP(I46, UserCodes!E:F, 2, FALSE) * H46 * 0.8, 0))</f>
        <v/>
      </c>
      <c r="K46" t="inlineStr">
        <is>
          <t>Mohamed, Madar</t>
        </is>
      </c>
      <c r="L46">
        <f>VLOOKUP(K46, UserCodes!A:B, 2, FALSE)</f>
        <v/>
      </c>
    </row>
    <row r="47">
      <c r="A47" t="inlineStr">
        <is>
          <t>Abdullahi, Abdirahman</t>
        </is>
      </c>
      <c r="B47" s="3" t="n">
        <v>46003</v>
      </c>
      <c r="C47" t="inlineStr">
        <is>
          <t>12:00 PM - 05:00 PM</t>
        </is>
      </c>
      <c r="D47" t="inlineStr">
        <is>
          <t>05:00</t>
        </is>
      </c>
      <c r="E47">
        <f>HOUR(D47)+MINUTE(D47)/100</f>
        <v/>
      </c>
      <c r="F47">
        <f>ROUND(INT(E47) + (E47 - INT(E47)) * 100 / 60, 2)</f>
        <v/>
      </c>
      <c r="G47">
        <f>E47*4</f>
        <v/>
      </c>
      <c r="H47">
        <f>LET(total, INT(E47)*60 + (E47-INT(E47))*100, blocks, QUOTIENT(total, 15), extra, MOD(total, 15), units, blocks + IF(extra&gt;=8, 1, 0), units)</f>
        <v/>
      </c>
      <c r="I47" t="inlineStr">
        <is>
          <t>1/1 
97153</t>
        </is>
      </c>
      <c r="J47">
        <f>IF(L47="Level 1", VLOOKUP(I47, UserCodes!E:F, 2, FALSE) * H47, IF(L47="Level 2", VLOOKUP(I47, UserCodes!E:F, 2, FALSE) * H47 * 0.8, 0))</f>
        <v/>
      </c>
      <c r="K47" t="inlineStr">
        <is>
          <t>Mohamed, Mohamed</t>
        </is>
      </c>
      <c r="L47">
        <f>VLOOKUP(K47, UserCodes!A:B, 2, FALSE)</f>
        <v/>
      </c>
    </row>
    <row r="48">
      <c r="A48" t="inlineStr">
        <is>
          <t>Abdi, Safia</t>
        </is>
      </c>
      <c r="B48" s="3" t="n">
        <v>46003</v>
      </c>
      <c r="C48" t="inlineStr">
        <is>
          <t>03:30 PM - 08:00 PM</t>
        </is>
      </c>
      <c r="D48" t="inlineStr">
        <is>
          <t>04:30</t>
        </is>
      </c>
      <c r="E48">
        <f>HOUR(D48)+MINUTE(D48)/100</f>
        <v/>
      </c>
      <c r="F48">
        <f>ROUND(INT(E48) + (E48 - INT(E48)) * 100 / 60, 2)</f>
        <v/>
      </c>
      <c r="G48">
        <f>E48*4</f>
        <v/>
      </c>
      <c r="H48">
        <f>LET(total, INT(E48)*60 + (E48-INT(E48))*100, blocks, QUOTIENT(total, 15), extra, MOD(total, 15), units, blocks + IF(extra&gt;=8, 1, 0), units)</f>
        <v/>
      </c>
      <c r="I48" t="inlineStr">
        <is>
          <t>1/1 
97153</t>
        </is>
      </c>
      <c r="J48">
        <f>IF(L48="Level 1", VLOOKUP(I48, UserCodes!E:F, 2, FALSE) * H48, IF(L48="Level 2", VLOOKUP(I48, UserCodes!E:F, 2, FALSE) * H48 * 0.8, 0))</f>
        <v/>
      </c>
      <c r="K48" t="inlineStr">
        <is>
          <t>Muse, Nawaal</t>
        </is>
      </c>
      <c r="L48">
        <f>VLOOKUP(K48, UserCodes!A:B, 2, FALSE)</f>
        <v/>
      </c>
    </row>
    <row r="49">
      <c r="A49" t="inlineStr">
        <is>
          <t>Abdi, Samira</t>
        </is>
      </c>
      <c r="B49" s="3" t="n">
        <v>46003</v>
      </c>
      <c r="C49" t="inlineStr">
        <is>
          <t>04:00pm - 08:00pm</t>
        </is>
      </c>
      <c r="E49">
        <f>HOUR(D49)+MINUTE(D49)/100</f>
        <v/>
      </c>
      <c r="F49">
        <f>ROUND(INT(E49) + (E49 - INT(E49)) * 100 / 60, 2)</f>
        <v/>
      </c>
      <c r="G49">
        <f>E49*4</f>
        <v/>
      </c>
      <c r="H49">
        <f>LET(total, INT(E49)*60 + (E49-INT(E49))*100, blocks, QUOTIENT(total, 15), extra, MOD(total, 15), units, blocks + IF(extra&gt;=8, 1, 0), units)</f>
        <v/>
      </c>
      <c r="I49" t="inlineStr">
        <is>
          <t>1/1 
97153</t>
        </is>
      </c>
      <c r="J49">
        <f>IF(L49="Level 1", VLOOKUP(I49, UserCodes!E:F, 2, FALSE) * H49, IF(L49="Level 2", VLOOKUP(I49, UserCodes!E:F, 2, FALSE) * H49 * 0.8, 0))</f>
        <v/>
      </c>
      <c r="K49" t="inlineStr">
        <is>
          <t>Abdulle, Zamzam</t>
        </is>
      </c>
      <c r="L49">
        <f>VLOOKUP(K49, UserCodes!A:B, 2, FALSE)</f>
        <v/>
      </c>
      <c r="M49" t="inlineStr">
        <is>
          <t>No note</t>
        </is>
      </c>
    </row>
    <row r="50">
      <c r="A50" t="inlineStr">
        <is>
          <t>Ali, Saami</t>
        </is>
      </c>
      <c r="B50" s="3" t="n">
        <v>46003</v>
      </c>
      <c r="C50" t="inlineStr">
        <is>
          <t>06:15 PM - 08:00 PM</t>
        </is>
      </c>
      <c r="D50" t="inlineStr">
        <is>
          <t>01:45</t>
        </is>
      </c>
      <c r="E50">
        <f>HOUR(D50)+MINUTE(D50)/100</f>
        <v/>
      </c>
      <c r="F50">
        <f>ROUND(INT(E50) + (E50 - INT(E50)) * 100 / 60, 2)</f>
        <v/>
      </c>
      <c r="G50">
        <f>E50*4</f>
        <v/>
      </c>
      <c r="H50">
        <f>LET(total, INT(E50)*60 + (E50-INT(E50))*100, blocks, QUOTIENT(total, 15), extra, MOD(total, 15), units, blocks + IF(extra&gt;=8, 1, 0), units)</f>
        <v/>
      </c>
      <c r="I50" t="inlineStr">
        <is>
          <t>O&amp;D 
97155</t>
        </is>
      </c>
      <c r="J50">
        <f>IF(L50="Level 1", VLOOKUP(I50, UserCodes!E:F, 2, FALSE) * H50, IF(L50="Level 2", VLOOKUP(I50, UserCodes!E:F, 2, FALSE) * H50 * 0.8, 0))</f>
        <v/>
      </c>
      <c r="K50" t="inlineStr">
        <is>
          <t>Muse, Adna</t>
        </is>
      </c>
      <c r="L50">
        <f>VLOOKUP(K50, UserCodes!A:B, 2, FALSE)</f>
        <v/>
      </c>
    </row>
    <row r="51">
      <c r="A51" t="inlineStr">
        <is>
          <t>Ali, Saami</t>
        </is>
      </c>
      <c r="B51" s="3" t="n">
        <v>46003</v>
      </c>
      <c r="C51" t="inlineStr">
        <is>
          <t>03:00 PM - 08:00 PM</t>
        </is>
      </c>
      <c r="D51" t="inlineStr">
        <is>
          <t>05:00</t>
        </is>
      </c>
      <c r="E51">
        <f>HOUR(D51)+MINUTE(D51)/100</f>
        <v/>
      </c>
      <c r="F51">
        <f>ROUND(INT(E51) + (E51 - INT(E51)) * 100 / 60, 2)</f>
        <v/>
      </c>
      <c r="G51">
        <f>E51*4</f>
        <v/>
      </c>
      <c r="H51">
        <f>LET(total, INT(E51)*60 + (E51-INT(E51))*100, blocks, QUOTIENT(total, 15), extra, MOD(total, 15), units, blocks + IF(extra&gt;=8, 1, 0), units)</f>
        <v/>
      </c>
      <c r="I51" t="inlineStr">
        <is>
          <t>1/1 
97153</t>
        </is>
      </c>
      <c r="J51">
        <f>IF(L51="Level 1", VLOOKUP(I51, UserCodes!E:F, 2, FALSE) * H51, IF(L51="Level 2", VLOOKUP(I51, UserCodes!E:F, 2, FALSE) * H51 * 0.8, 0))</f>
        <v/>
      </c>
      <c r="K51" t="inlineStr">
        <is>
          <t>Muse, Aaliya</t>
        </is>
      </c>
      <c r="L51">
        <f>VLOOKUP(K51, UserCodes!A:B, 2, FALSE)</f>
        <v/>
      </c>
    </row>
    <row r="52">
      <c r="A52" t="inlineStr">
        <is>
          <t>Jama, Khadija</t>
        </is>
      </c>
      <c r="B52" s="3" t="n">
        <v>46003</v>
      </c>
      <c r="C52" t="inlineStr">
        <is>
          <t>03:30 PM - 08:00 PM</t>
        </is>
      </c>
      <c r="D52" t="inlineStr">
        <is>
          <t>04:30</t>
        </is>
      </c>
      <c r="E52">
        <f>HOUR(D52)+MINUTE(D52)/100</f>
        <v/>
      </c>
      <c r="F52">
        <f>ROUND(INT(E52) + (E52 - INT(E52)) * 100 / 60, 2)</f>
        <v/>
      </c>
      <c r="G52">
        <f>E52*4</f>
        <v/>
      </c>
      <c r="H52">
        <f>LET(total, INT(E52)*60 + (E52-INT(E52))*100, blocks, QUOTIENT(total, 15), extra, MOD(total, 15), units, blocks + IF(extra&gt;=8, 1, 0), units)</f>
        <v/>
      </c>
      <c r="I52" t="inlineStr">
        <is>
          <t>1/1 
97153</t>
        </is>
      </c>
      <c r="J52">
        <f>IF(L52="Level 1", VLOOKUP(I52, UserCodes!E:F, 2, FALSE) * H52, IF(L52="Level 2", VLOOKUP(I52, UserCodes!E:F, 2, FALSE) * H52 * 0.8, 0))</f>
        <v/>
      </c>
      <c r="K52" t="inlineStr">
        <is>
          <t>Barqab, Mushtaq</t>
        </is>
      </c>
      <c r="L52">
        <f>VLOOKUP(K52, UserCodes!A:B, 2, FALSE)</f>
        <v/>
      </c>
    </row>
    <row r="53">
      <c r="A53" t="inlineStr">
        <is>
          <t>Sulub, Sharmake</t>
        </is>
      </c>
      <c r="B53" s="3" t="n">
        <v>46003</v>
      </c>
      <c r="C53" t="inlineStr">
        <is>
          <t>06:30pm - 08:00pm</t>
        </is>
      </c>
      <c r="E53">
        <f>HOUR(D53)+MINUTE(D53)/100</f>
        <v/>
      </c>
      <c r="F53">
        <f>ROUND(INT(E53) + (E53 - INT(E53)) * 100 / 60, 2)</f>
        <v/>
      </c>
      <c r="G53">
        <f>E53*4</f>
        <v/>
      </c>
      <c r="H53">
        <f>LET(total, INT(E53)*60 + (E53-INT(E53))*100, blocks, QUOTIENT(total, 15), extra, MOD(total, 15), units, blocks + IF(extra&gt;=8, 1, 0), units)</f>
        <v/>
      </c>
      <c r="I53" t="inlineStr">
        <is>
          <t>1/1 
97153</t>
        </is>
      </c>
      <c r="J53">
        <f>IF(L53="Level 1", VLOOKUP(I53, UserCodes!E:F, 2, FALSE) * H53, IF(L53="Level 2", VLOOKUP(I53, UserCodes!E:F, 2, FALSE) * H53 * 0.8, 0))</f>
        <v/>
      </c>
      <c r="K53" t="inlineStr">
        <is>
          <t>Abdulle, Zamzam</t>
        </is>
      </c>
      <c r="L53">
        <f>VLOOKUP(K53, UserCodes!A:B, 2, FALSE)</f>
        <v/>
      </c>
      <c r="M53" t="inlineStr">
        <is>
          <t>No note</t>
        </is>
      </c>
    </row>
    <row r="54">
      <c r="A54" t="inlineStr">
        <is>
          <t>Kadir, Hamdi</t>
        </is>
      </c>
      <c r="B54" s="3" t="n">
        <v>46003</v>
      </c>
      <c r="C54" t="inlineStr">
        <is>
          <t>12:55 PM - 03:45 PM</t>
        </is>
      </c>
      <c r="D54" t="inlineStr">
        <is>
          <t>02:50</t>
        </is>
      </c>
      <c r="E54">
        <f>HOUR(D54)+MINUTE(D54)/100</f>
        <v/>
      </c>
      <c r="F54">
        <f>ROUND(INT(E54) + (E54 - INT(E54)) * 100 / 60, 2)</f>
        <v/>
      </c>
      <c r="G54">
        <f>E54*4</f>
        <v/>
      </c>
      <c r="H54">
        <f>LET(total, INT(E54)*60 + (E54-INT(E54))*100, blocks, QUOTIENT(total, 15), extra, MOD(total, 15), units, blocks + IF(extra&gt;=8, 1, 0), units)</f>
        <v/>
      </c>
      <c r="J54">
        <f>IF(L54="Level 1", VLOOKUP(I54, UserCodes!E:F, 2, FALSE) * H54, IF(L54="Level 2", VLOOKUP(I54, UserCodes!E:F, 2, FALSE) * H54 * 0.8, 0))</f>
        <v/>
      </c>
      <c r="K54" t="inlineStr">
        <is>
          <t>Ahmed, Jama</t>
        </is>
      </c>
      <c r="L54">
        <f>VLOOKUP(K54, UserCodes!A:B, 2, FALSE)</f>
        <v/>
      </c>
      <c r="M54" t="inlineStr">
        <is>
          <t>No schedule</t>
        </is>
      </c>
    </row>
    <row r="55">
      <c r="A55" t="inlineStr">
        <is>
          <t>Kadir, Hamdi</t>
        </is>
      </c>
      <c r="B55" s="3" t="n">
        <v>46003</v>
      </c>
      <c r="C55" t="inlineStr">
        <is>
          <t>12:35 PM - 08:00 PM</t>
        </is>
      </c>
      <c r="D55" t="inlineStr">
        <is>
          <t>07:25</t>
        </is>
      </c>
      <c r="E55">
        <f>HOUR(D55)+MINUTE(D55)/100</f>
        <v/>
      </c>
      <c r="F55">
        <f>ROUND(INT(E55) + (E55 - INT(E55)) * 100 / 60, 2)</f>
        <v/>
      </c>
      <c r="G55">
        <f>E55*4</f>
        <v/>
      </c>
      <c r="H55">
        <f>LET(total, INT(E55)*60 + (E55-INT(E55))*100, blocks, QUOTIENT(total, 15), extra, MOD(total, 15), units, blocks + IF(extra&gt;=8, 1, 0), units)</f>
        <v/>
      </c>
      <c r="I55" t="inlineStr">
        <is>
          <t>1/1 
97153</t>
        </is>
      </c>
      <c r="J55">
        <f>IF(L55="Level 1", VLOOKUP(I55, UserCodes!E:F, 2, FALSE) * H55, IF(L55="Level 2", VLOOKUP(I55, UserCodes!E:F, 2, FALSE) * H55 * 0.8, 0))</f>
        <v/>
      </c>
      <c r="K55" t="inlineStr">
        <is>
          <t>Mohamed, Samsam</t>
        </is>
      </c>
      <c r="L55">
        <f>VLOOKUP(K55, UserCodes!A:B, 2, FALSE)</f>
        <v/>
      </c>
    </row>
    <row r="56">
      <c r="A56" t="inlineStr">
        <is>
          <t>Kadir, Hamdi</t>
        </is>
      </c>
      <c r="B56" s="3" t="n">
        <v>46003</v>
      </c>
      <c r="C56" t="inlineStr">
        <is>
          <t>12:00 PM - 03:00 PM</t>
        </is>
      </c>
      <c r="D56" t="inlineStr">
        <is>
          <t>03:00</t>
        </is>
      </c>
      <c r="E56">
        <f>HOUR(D56)+MINUTE(D56)/100</f>
        <v/>
      </c>
      <c r="F56">
        <f>ROUND(INT(E56) + (E56 - INT(E56)) * 100 / 60, 2)</f>
        <v/>
      </c>
      <c r="G56">
        <f>E56*4</f>
        <v/>
      </c>
      <c r="H56">
        <f>LET(total, INT(E56)*60 + (E56-INT(E56))*100, blocks, QUOTIENT(total, 15), extra, MOD(total, 15), units, blocks + IF(extra&gt;=8, 1, 0), units)</f>
        <v/>
      </c>
      <c r="I56" t="inlineStr">
        <is>
          <t>O&amp;D 
97155</t>
        </is>
      </c>
      <c r="J56">
        <f>IF(L56="Level 1", VLOOKUP(I56, UserCodes!E:F, 2, FALSE) * H56, IF(L56="Level 2", VLOOKUP(I56, UserCodes!E:F, 2, FALSE) * H56 * 0.8, 0))</f>
        <v/>
      </c>
      <c r="K56" t="inlineStr">
        <is>
          <t>Muse, Adna</t>
        </is>
      </c>
      <c r="L56">
        <f>VLOOKUP(K56, UserCodes!A:B, 2, FALSE)</f>
        <v/>
      </c>
    </row>
    <row r="57">
      <c r="A57" t="inlineStr">
        <is>
          <t>Sulub, Sharmake</t>
        </is>
      </c>
      <c r="B57" s="3" t="n">
        <v>46003</v>
      </c>
      <c r="C57" t="inlineStr">
        <is>
          <t>06:30 PM - 08:00 PM</t>
        </is>
      </c>
      <c r="D57" t="inlineStr">
        <is>
          <t>01:30</t>
        </is>
      </c>
      <c r="E57">
        <f>HOUR(D57)+MINUTE(D57)/100</f>
        <v/>
      </c>
      <c r="F57">
        <f>ROUND(INT(E57) + (E57 - INT(E57)) * 100 / 60, 2)</f>
        <v/>
      </c>
      <c r="G57">
        <f>E57*4</f>
        <v/>
      </c>
      <c r="H57">
        <f>LET(total, INT(E57)*60 + (E57-INT(E57))*100, blocks, QUOTIENT(total, 15), extra, MOD(total, 15), units, blocks + IF(extra&gt;=8, 1, 0), units)</f>
        <v/>
      </c>
      <c r="I57" t="inlineStr">
        <is>
          <t>O&amp;D 
97155</t>
        </is>
      </c>
      <c r="J57">
        <f>IF(L57="Level 1", VLOOKUP(I57, UserCodes!E:F, 2, FALSE) * H57, IF(L57="Level 2", VLOOKUP(I57, UserCodes!E:F, 2, FALSE) * H57 * 0.8, 0))</f>
        <v/>
      </c>
      <c r="K57" t="inlineStr">
        <is>
          <t>Ali, Nasteho</t>
        </is>
      </c>
      <c r="L57">
        <f>VLOOKUP(K57, UserCodes!A:B, 2, FALSE)</f>
        <v/>
      </c>
    </row>
    <row r="58">
      <c r="A58" t="inlineStr">
        <is>
          <t>Abdulkadir, Nadra</t>
        </is>
      </c>
      <c r="B58" s="3" t="n">
        <v>46003</v>
      </c>
      <c r="C58" t="inlineStr">
        <is>
          <t>01:30 PM - 06:30 PM</t>
        </is>
      </c>
      <c r="D58" t="inlineStr">
        <is>
          <t>05:00</t>
        </is>
      </c>
      <c r="E58">
        <f>HOUR(D58)+MINUTE(D58)/100</f>
        <v/>
      </c>
      <c r="F58">
        <f>ROUND(INT(E58) + (E58 - INT(E58)) * 100 / 60, 2)</f>
        <v/>
      </c>
      <c r="G58">
        <f>E58*4</f>
        <v/>
      </c>
      <c r="H58">
        <f>LET(total, INT(E58)*60 + (E58-INT(E58))*100, blocks, QUOTIENT(total, 15), extra, MOD(total, 15), units, blocks + IF(extra&gt;=8, 1, 0), units)</f>
        <v/>
      </c>
      <c r="I58" t="inlineStr">
        <is>
          <t>1/1 
97153</t>
        </is>
      </c>
      <c r="J58">
        <f>IF(L58="Level 1", VLOOKUP(I58, UserCodes!E:F, 2, FALSE) * H58, IF(L58="Level 2", VLOOKUP(I58, UserCodes!E:F, 2, FALSE) * H58 * 0.8, 0))</f>
        <v/>
      </c>
      <c r="K58" t="inlineStr">
        <is>
          <t>Ali, Nasteho</t>
        </is>
      </c>
      <c r="L58">
        <f>VLOOKUP(K58, UserCodes!A:B, 2, FALSE)</f>
        <v/>
      </c>
    </row>
    <row r="59">
      <c r="A59" t="inlineStr">
        <is>
          <t>Abdi, Safia</t>
        </is>
      </c>
      <c r="B59" s="3" t="n">
        <v>46003</v>
      </c>
      <c r="C59" t="inlineStr">
        <is>
          <t>04:00 PM - 05:00 PM</t>
        </is>
      </c>
      <c r="D59" t="inlineStr">
        <is>
          <t>01:00</t>
        </is>
      </c>
      <c r="E59">
        <f>HOUR(D59)+MINUTE(D59)/100</f>
        <v/>
      </c>
      <c r="F59">
        <f>ROUND(INT(E59) + (E59 - INT(E59)) * 100 / 60, 2)</f>
        <v/>
      </c>
      <c r="G59">
        <f>E59*4</f>
        <v/>
      </c>
      <c r="H59">
        <f>LET(total, INT(E59)*60 + (E59-INT(E59))*100, blocks, QUOTIENT(total, 15), extra, MOD(total, 15), units, blocks + IF(extra&gt;=8, 1, 0), units)</f>
        <v/>
      </c>
      <c r="J59">
        <f>IF(L59="Level 1", VLOOKUP(I59, UserCodes!E:F, 2, FALSE) * H59, IF(L59="Level 2", VLOOKUP(I59, UserCodes!E:F, 2, FALSE) * H59 * 0.8, 0))</f>
        <v/>
      </c>
      <c r="K59" t="inlineStr">
        <is>
          <t>El-Tay, Dr. Ismael</t>
        </is>
      </c>
      <c r="L59">
        <f>VLOOKUP(K59, UserCodes!A:B, 2, FALSE)</f>
        <v/>
      </c>
      <c r="M59" t="inlineStr">
        <is>
          <t>No schedule</t>
        </is>
      </c>
    </row>
    <row r="60">
      <c r="A60" t="inlineStr">
        <is>
          <t>Abdi, Ahmed</t>
        </is>
      </c>
      <c r="B60" s="3" t="n">
        <v>46003</v>
      </c>
      <c r="C60" t="inlineStr">
        <is>
          <t>05:00pm - 06:00pm</t>
        </is>
      </c>
      <c r="E60">
        <f>HOUR(D60)+MINUTE(D60)/100</f>
        <v/>
      </c>
      <c r="F60">
        <f>ROUND(INT(E60) + (E60 - INT(E60)) * 100 / 60, 2)</f>
        <v/>
      </c>
      <c r="G60">
        <f>E60*4</f>
        <v/>
      </c>
      <c r="H60">
        <f>LET(total, INT(E60)*60 + (E60-INT(E60))*100, blocks, QUOTIENT(total, 15), extra, MOD(total, 15), units, blocks + IF(extra&gt;=8, 1, 0), units)</f>
        <v/>
      </c>
      <c r="I60" t="inlineStr">
        <is>
          <t>1/1 
97153</t>
        </is>
      </c>
      <c r="J60">
        <f>IF(L60="Level 1", VLOOKUP(I60, UserCodes!E:F, 2, FALSE) * H60, IF(L60="Level 2", VLOOKUP(I60, UserCodes!E:F, 2, FALSE) * H60 * 0.8, 0))</f>
        <v/>
      </c>
      <c r="K60" t="inlineStr">
        <is>
          <t>Abdulle, Zamzam</t>
        </is>
      </c>
      <c r="L60">
        <f>VLOOKUP(K60, UserCodes!A:B, 2, FALSE)</f>
        <v/>
      </c>
      <c r="M60" t="inlineStr">
        <is>
          <t>No note</t>
        </is>
      </c>
    </row>
    <row r="61">
      <c r="A61" t="inlineStr">
        <is>
          <t>Yusuf 2, Khadra</t>
        </is>
      </c>
      <c r="B61" s="3" t="n">
        <v>46003</v>
      </c>
      <c r="C61" t="inlineStr">
        <is>
          <t>01:00 PM - 06:00 PM</t>
        </is>
      </c>
      <c r="D61" t="inlineStr">
        <is>
          <t>05:00</t>
        </is>
      </c>
      <c r="E61">
        <f>HOUR(D61)+MINUTE(D61)/100</f>
        <v/>
      </c>
      <c r="F61">
        <f>ROUND(INT(E61) + (E61 - INT(E61)) * 100 / 60, 2)</f>
        <v/>
      </c>
      <c r="G61">
        <f>E61*4</f>
        <v/>
      </c>
      <c r="H61">
        <f>LET(total, INT(E61)*60 + (E61-INT(E61))*100, blocks, QUOTIENT(total, 15), extra, MOD(total, 15), units, blocks + IF(extra&gt;=8, 1, 0), units)</f>
        <v/>
      </c>
      <c r="I61" t="inlineStr">
        <is>
          <t>1/1 
97153</t>
        </is>
      </c>
      <c r="J61">
        <f>IF(L61="Level 1", VLOOKUP(I61, UserCodes!E:F, 2, FALSE) * H61, IF(L61="Level 2", VLOOKUP(I61, UserCodes!E:F, 2, FALSE) * H61 * 0.8, 0))</f>
        <v/>
      </c>
      <c r="K61" t="inlineStr">
        <is>
          <t>Ali, Naima</t>
        </is>
      </c>
      <c r="L61">
        <f>VLOOKUP(K61, UserCodes!A:B, 2, FALSE)</f>
        <v/>
      </c>
    </row>
    <row r="62">
      <c r="A62" t="inlineStr">
        <is>
          <t>Abdi, Mohamed</t>
        </is>
      </c>
      <c r="B62" s="3" t="n">
        <v>46003</v>
      </c>
      <c r="C62" t="inlineStr">
        <is>
          <t>03:00 PM - 08:00 PM</t>
        </is>
      </c>
      <c r="D62" t="inlineStr">
        <is>
          <t>05:00</t>
        </is>
      </c>
      <c r="E62">
        <f>HOUR(D62)+MINUTE(D62)/100</f>
        <v/>
      </c>
      <c r="F62">
        <f>ROUND(INT(E62) + (E62 - INT(E62)) * 100 / 60, 2)</f>
        <v/>
      </c>
      <c r="G62">
        <f>E62*4</f>
        <v/>
      </c>
      <c r="H62">
        <f>LET(total, INT(E62)*60 + (E62-INT(E62))*100, blocks, QUOTIENT(total, 15), extra, MOD(total, 15), units, blocks + IF(extra&gt;=8, 1, 0), units)</f>
        <v/>
      </c>
      <c r="I62" t="inlineStr">
        <is>
          <t>1/1 
97153</t>
        </is>
      </c>
      <c r="J62">
        <f>IF(L62="Level 1", VLOOKUP(I62, UserCodes!E:F, 2, FALSE) * H62, IF(L62="Level 2", VLOOKUP(I62, UserCodes!E:F, 2, FALSE) * H62 * 0.8, 0))</f>
        <v/>
      </c>
      <c r="K62" t="inlineStr">
        <is>
          <t>Osman, Basra</t>
        </is>
      </c>
      <c r="L62">
        <f>VLOOKUP(K62, UserCodes!A:B, 2, FALSE)</f>
        <v/>
      </c>
    </row>
    <row r="63">
      <c r="A63" t="inlineStr">
        <is>
          <t>Abdi, Ahmed</t>
        </is>
      </c>
      <c r="B63" s="3" t="n">
        <v>46003</v>
      </c>
      <c r="C63" t="inlineStr">
        <is>
          <t>06:00 PM - 08:00 PM</t>
        </is>
      </c>
      <c r="D63" t="inlineStr">
        <is>
          <t>02:00</t>
        </is>
      </c>
      <c r="E63">
        <f>HOUR(D63)+MINUTE(D63)/100</f>
        <v/>
      </c>
      <c r="F63">
        <f>ROUND(INT(E63) + (E63 - INT(E63)) * 100 / 60, 2)</f>
        <v/>
      </c>
      <c r="G63">
        <f>E63*4</f>
        <v/>
      </c>
      <c r="H63">
        <f>LET(total, INT(E63)*60 + (E63-INT(E63))*100, blocks, QUOTIENT(total, 15), extra, MOD(total, 15), units, blocks + IF(extra&gt;=8, 1, 0), units)</f>
        <v/>
      </c>
      <c r="I63" t="inlineStr">
        <is>
          <t>1/1 
97153</t>
        </is>
      </c>
      <c r="J63">
        <f>IF(L63="Level 1", VLOOKUP(I63, UserCodes!E:F, 2, FALSE) * H63, IF(L63="Level 2", VLOOKUP(I63, UserCodes!E:F, 2, FALSE) * H63 * 0.8, 0))</f>
        <v/>
      </c>
      <c r="K63" t="inlineStr">
        <is>
          <t>Hashi, Ridwan</t>
        </is>
      </c>
      <c r="L63">
        <f>VLOOKUP(K63, UserCodes!A:B, 2, FALSE)</f>
        <v/>
      </c>
    </row>
    <row r="64">
      <c r="A64" t="inlineStr">
        <is>
          <t>Abdi, Ahmed</t>
        </is>
      </c>
      <c r="B64" s="3" t="n">
        <v>46003</v>
      </c>
      <c r="C64" t="inlineStr">
        <is>
          <t>06:00 PM - 08:00 PM</t>
        </is>
      </c>
      <c r="D64" t="inlineStr">
        <is>
          <t>02:00</t>
        </is>
      </c>
      <c r="E64">
        <f>HOUR(D64)+MINUTE(D64)/100</f>
        <v/>
      </c>
      <c r="F64">
        <f>ROUND(INT(E64) + (E64 - INT(E64)) * 100 / 60, 2)</f>
        <v/>
      </c>
      <c r="G64">
        <f>E64*4</f>
        <v/>
      </c>
      <c r="H64">
        <f>LET(total, INT(E64)*60 + (E64-INT(E64))*100, blocks, QUOTIENT(total, 15), extra, MOD(total, 15), units, blocks + IF(extra&gt;=8, 1, 0), units)</f>
        <v/>
      </c>
      <c r="I64" t="inlineStr">
        <is>
          <t>O&amp;D 
97155</t>
        </is>
      </c>
      <c r="J64">
        <f>IF(L64="Level 1", VLOOKUP(I64, UserCodes!E:F, 2, FALSE) * H64, IF(L64="Level 2", VLOOKUP(I64, UserCodes!E:F, 2, FALSE) * H64 * 0.8, 0))</f>
        <v/>
      </c>
      <c r="K64" t="inlineStr">
        <is>
          <t>Ibrahim, Ahmed</t>
        </is>
      </c>
      <c r="L64">
        <f>VLOOKUP(K64, UserCodes!A:B, 2, FALSE)</f>
        <v/>
      </c>
    </row>
    <row r="65">
      <c r="A65" t="inlineStr">
        <is>
          <t>Abdi, Ahmed</t>
        </is>
      </c>
      <c r="B65" s="3" t="n">
        <v>46003</v>
      </c>
      <c r="C65" t="inlineStr">
        <is>
          <t>05:00 PM - 06:00 PM</t>
        </is>
      </c>
      <c r="D65" t="inlineStr">
        <is>
          <t>01:00</t>
        </is>
      </c>
      <c r="E65">
        <f>HOUR(D65)+MINUTE(D65)/100</f>
        <v/>
      </c>
      <c r="F65">
        <f>ROUND(INT(E65) + (E65 - INT(E65)) * 100 / 60, 2)</f>
        <v/>
      </c>
      <c r="G65">
        <f>E65*4</f>
        <v/>
      </c>
      <c r="H65">
        <f>LET(total, INT(E65)*60 + (E65-INT(E65))*100, blocks, QUOTIENT(total, 15), extra, MOD(total, 15), units, blocks + IF(extra&gt;=8, 1, 0), units)</f>
        <v/>
      </c>
      <c r="I65" t="inlineStr">
        <is>
          <t>O&amp;D 
97155</t>
        </is>
      </c>
      <c r="J65">
        <f>IF(L65="Level 1", VLOOKUP(I65, UserCodes!E:F, 2, FALSE) * H65, IF(L65="Level 2", VLOOKUP(I65, UserCodes!E:F, 2, FALSE) * H65 * 0.8, 0))</f>
        <v/>
      </c>
      <c r="K65" t="inlineStr">
        <is>
          <t>Ibrahim, Ahmed</t>
        </is>
      </c>
      <c r="L65">
        <f>VLOOKUP(K65, UserCodes!A:B, 2, FALSE)</f>
        <v/>
      </c>
    </row>
    <row r="66">
      <c r="A66" t="inlineStr">
        <is>
          <t>Abdi, Ahmed</t>
        </is>
      </c>
      <c r="B66" s="3" t="n">
        <v>46003</v>
      </c>
      <c r="C66" t="inlineStr">
        <is>
          <t>03:00 PM - 05:00 PM</t>
        </is>
      </c>
      <c r="D66" t="inlineStr">
        <is>
          <t>02:00</t>
        </is>
      </c>
      <c r="E66">
        <f>HOUR(D66)+MINUTE(D66)/100</f>
        <v/>
      </c>
      <c r="F66">
        <f>ROUND(INT(E66) + (E66 - INT(E66)) * 100 / 60, 2)</f>
        <v/>
      </c>
      <c r="G66">
        <f>E66*4</f>
        <v/>
      </c>
      <c r="H66">
        <f>LET(total, INT(E66)*60 + (E66-INT(E66))*100, blocks, QUOTIENT(total, 15), extra, MOD(total, 15), units, blocks + IF(extra&gt;=8, 1, 0), units)</f>
        <v/>
      </c>
      <c r="I66" t="inlineStr">
        <is>
          <t>1/1 
97153</t>
        </is>
      </c>
      <c r="J66">
        <f>IF(L66="Level 1", VLOOKUP(I66, UserCodes!E:F, 2, FALSE) * H66, IF(L66="Level 2", VLOOKUP(I66, UserCodes!E:F, 2, FALSE) * H66 * 0.8, 0))</f>
        <v/>
      </c>
      <c r="K66" t="inlineStr">
        <is>
          <t>Hawadle, Abdiaziz</t>
        </is>
      </c>
      <c r="L66">
        <f>VLOOKUP(K66, UserCodes!A:B, 2, FALSE)</f>
        <v/>
      </c>
    </row>
    <row r="67">
      <c r="A67" t="inlineStr">
        <is>
          <t>Abdulkadir, Nadra</t>
        </is>
      </c>
      <c r="B67" s="3" t="n">
        <v>46004</v>
      </c>
      <c r="C67" t="inlineStr">
        <is>
          <t>12:30 PM - 05:00 PM</t>
        </is>
      </c>
      <c r="D67" t="inlineStr">
        <is>
          <t>04:30</t>
        </is>
      </c>
      <c r="E67">
        <f>HOUR(D67)+MINUTE(D67)/100</f>
        <v/>
      </c>
      <c r="F67">
        <f>ROUND(INT(E67) + (E67 - INT(E67)) * 100 / 60, 2)</f>
        <v/>
      </c>
      <c r="G67">
        <f>E67*4</f>
        <v/>
      </c>
      <c r="H67">
        <f>LET(total, INT(E67)*60 + (E67-INT(E67))*100, blocks, QUOTIENT(total, 15), extra, MOD(total, 15), units, blocks + IF(extra&gt;=8, 1, 0), units)</f>
        <v/>
      </c>
      <c r="I67" t="inlineStr">
        <is>
          <t>1/1 
97153</t>
        </is>
      </c>
      <c r="J67">
        <f>IF(L67="Level 1", VLOOKUP(I67, UserCodes!E:F, 2, FALSE) * H67, IF(L67="Level 2", VLOOKUP(I67, UserCodes!E:F, 2, FALSE) * H67 * 0.8, 0))</f>
        <v/>
      </c>
      <c r="K67" t="inlineStr">
        <is>
          <t>ALI, AMIRA</t>
        </is>
      </c>
      <c r="L67">
        <f>VLOOKUP(K67, UserCodes!A:B, 2, FALSE)</f>
        <v/>
      </c>
    </row>
    <row r="68">
      <c r="A68" t="inlineStr">
        <is>
          <t>Abdulkadir, Nadra</t>
        </is>
      </c>
      <c r="B68" s="3" t="n">
        <v>46004</v>
      </c>
      <c r="C68" t="inlineStr">
        <is>
          <t>10:00 AM - 01:00 PM</t>
        </is>
      </c>
      <c r="D68" t="inlineStr">
        <is>
          <t>03:00</t>
        </is>
      </c>
      <c r="E68">
        <f>HOUR(D68)+MINUTE(D68)/100</f>
        <v/>
      </c>
      <c r="F68">
        <f>ROUND(INT(E68) + (E68 - INT(E68)) * 100 / 60, 2)</f>
        <v/>
      </c>
      <c r="G68">
        <f>E68*4</f>
        <v/>
      </c>
      <c r="H68">
        <f>LET(total, INT(E68)*60 + (E68-INT(E68))*100, blocks, QUOTIENT(total, 15), extra, MOD(total, 15), units, blocks + IF(extra&gt;=8, 1, 0), units)</f>
        <v/>
      </c>
      <c r="I68" t="inlineStr">
        <is>
          <t>O&amp;D 
97155</t>
        </is>
      </c>
      <c r="J68">
        <f>IF(L68="Level 1", VLOOKUP(I68, UserCodes!E:F, 2, FALSE) * H68, IF(L68="Level 2", VLOOKUP(I68, UserCodes!E:F, 2, FALSE) * H68 * 0.8, 0))</f>
        <v/>
      </c>
      <c r="K68" t="inlineStr">
        <is>
          <t>Mohamed, Madar</t>
        </is>
      </c>
      <c r="L68">
        <f>VLOOKUP(K68, UserCodes!A:B, 2, FALSE)</f>
        <v/>
      </c>
    </row>
    <row r="69">
      <c r="A69" t="inlineStr">
        <is>
          <t>Abdulkadir, Nadra</t>
        </is>
      </c>
      <c r="B69" s="3" t="n">
        <v>46004</v>
      </c>
      <c r="C69" t="inlineStr">
        <is>
          <t>09:00 AM - 12:00 PM</t>
        </is>
      </c>
      <c r="D69" t="inlineStr">
        <is>
          <t>03:00</t>
        </is>
      </c>
      <c r="E69">
        <f>HOUR(D69)+MINUTE(D69)/100</f>
        <v/>
      </c>
      <c r="F69">
        <f>ROUND(INT(E69) + (E69 - INT(E69)) * 100 / 60, 2)</f>
        <v/>
      </c>
      <c r="G69">
        <f>E69*4</f>
        <v/>
      </c>
      <c r="H69">
        <f>LET(total, INT(E69)*60 + (E69-INT(E69))*100, blocks, QUOTIENT(total, 15), extra, MOD(total, 15), units, blocks + IF(extra&gt;=8, 1, 0), units)</f>
        <v/>
      </c>
      <c r="I69" t="inlineStr">
        <is>
          <t>1/1 
97153</t>
        </is>
      </c>
      <c r="J69">
        <f>IF(L69="Level 1", VLOOKUP(I69, UserCodes!E:F, 2, FALSE) * H69, IF(L69="Level 2", VLOOKUP(I69, UserCodes!E:F, 2, FALSE) * H69 * 0.8, 0))</f>
        <v/>
      </c>
      <c r="K69" t="inlineStr">
        <is>
          <t>ALI, AMIRA</t>
        </is>
      </c>
      <c r="L69">
        <f>VLOOKUP(K69, UserCodes!A:B, 2, FALSE)</f>
        <v/>
      </c>
    </row>
    <row r="70">
      <c r="A70" t="inlineStr">
        <is>
          <t>Abdi, Mohamed</t>
        </is>
      </c>
      <c r="B70" s="3" t="n">
        <v>46004</v>
      </c>
      <c r="C70" t="inlineStr">
        <is>
          <t>10:00 AM - 02:40 PM</t>
        </is>
      </c>
      <c r="D70" t="inlineStr">
        <is>
          <t>04:40</t>
        </is>
      </c>
      <c r="E70">
        <f>HOUR(D70)+MINUTE(D70)/100</f>
        <v/>
      </c>
      <c r="F70">
        <f>ROUND(INT(E70) + (E70 - INT(E70)) * 100 / 60, 2)</f>
        <v/>
      </c>
      <c r="G70">
        <f>E70*4</f>
        <v/>
      </c>
      <c r="H70">
        <f>LET(total, INT(E70)*60 + (E70-INT(E70))*100, blocks, QUOTIENT(total, 15), extra, MOD(total, 15), units, blocks + IF(extra&gt;=8, 1, 0), units)</f>
        <v/>
      </c>
      <c r="I70" t="inlineStr">
        <is>
          <t>1/1 
97153</t>
        </is>
      </c>
      <c r="J70">
        <f>IF(L70="Level 1", VLOOKUP(I70, UserCodes!E:F, 2, FALSE) * H70, IF(L70="Level 2", VLOOKUP(I70, UserCodes!E:F, 2, FALSE) * H70 * 0.8, 0))</f>
        <v/>
      </c>
      <c r="K70" t="inlineStr">
        <is>
          <t>Mohamed, Mohamed</t>
        </is>
      </c>
      <c r="L70">
        <f>VLOOKUP(K70, UserCodes!A:B, 2, FALSE)</f>
        <v/>
      </c>
    </row>
    <row r="71">
      <c r="A71" t="inlineStr">
        <is>
          <t>Abdi, Mohamed</t>
        </is>
      </c>
      <c r="B71" s="3" t="n">
        <v>46004</v>
      </c>
      <c r="C71" t="inlineStr">
        <is>
          <t>01:00 PM - 02:40 PM</t>
        </is>
      </c>
      <c r="D71" t="inlineStr">
        <is>
          <t>01:40</t>
        </is>
      </c>
      <c r="E71">
        <f>HOUR(D71)+MINUTE(D71)/100</f>
        <v/>
      </c>
      <c r="F71">
        <f>ROUND(INT(E71) + (E71 - INT(E71)) * 100 / 60, 2)</f>
        <v/>
      </c>
      <c r="G71">
        <f>E71*4</f>
        <v/>
      </c>
      <c r="H71">
        <f>LET(total, INT(E71)*60 + (E71-INT(E71))*100, blocks, QUOTIENT(total, 15), extra, MOD(total, 15), units, blocks + IF(extra&gt;=8, 1, 0), units)</f>
        <v/>
      </c>
      <c r="I71" t="inlineStr">
        <is>
          <t>O&amp;D 
97155</t>
        </is>
      </c>
      <c r="J71">
        <f>IF(L71="Level 1", VLOOKUP(I71, UserCodes!E:F, 2, FALSE) * H71, IF(L71="Level 2", VLOOKUP(I71, UserCodes!E:F, 2, FALSE) * H71 * 0.8, 0))</f>
        <v/>
      </c>
      <c r="K71" t="inlineStr">
        <is>
          <t>Hawadle, Abdiaziz</t>
        </is>
      </c>
      <c r="L71">
        <f>VLOOKUP(K71, UserCodes!A:B, 2, FALSE)</f>
        <v/>
      </c>
    </row>
    <row r="72">
      <c r="A72" t="inlineStr">
        <is>
          <t>Abdi, Mohamed</t>
        </is>
      </c>
      <c r="B72" s="3" t="n">
        <v>46004</v>
      </c>
      <c r="C72" t="inlineStr">
        <is>
          <t>02:40 PM - 06:10 PM</t>
        </is>
      </c>
      <c r="D72" t="inlineStr">
        <is>
          <t>03:30</t>
        </is>
      </c>
      <c r="E72">
        <f>HOUR(D72)+MINUTE(D72)/100</f>
        <v/>
      </c>
      <c r="F72">
        <f>ROUND(INT(E72) + (E72 - INT(E72)) * 100 / 60, 2)</f>
        <v/>
      </c>
      <c r="G72">
        <f>E72*4</f>
        <v/>
      </c>
      <c r="H72">
        <f>LET(total, INT(E72)*60 + (E72-INT(E72))*100, blocks, QUOTIENT(total, 15), extra, MOD(total, 15), units, blocks + IF(extra&gt;=8, 1, 0), units)</f>
        <v/>
      </c>
      <c r="I72" t="inlineStr">
        <is>
          <t>1/1 
97153</t>
        </is>
      </c>
      <c r="J72">
        <f>IF(L72="Level 1", VLOOKUP(I72, UserCodes!E:F, 2, FALSE) * H72, IF(L72="Level 2", VLOOKUP(I72, UserCodes!E:F, 2, FALSE) * H72 * 0.8, 0))</f>
        <v/>
      </c>
      <c r="K72" t="inlineStr">
        <is>
          <t>Ibrahim, Ahmed</t>
        </is>
      </c>
      <c r="L72">
        <f>VLOOKUP(K72, UserCodes!A:B, 2, FALSE)</f>
        <v/>
      </c>
    </row>
    <row r="73">
      <c r="A73" t="inlineStr">
        <is>
          <t>Abdi, Mohamed</t>
        </is>
      </c>
      <c r="B73" s="3" t="n">
        <v>46004</v>
      </c>
      <c r="C73" t="inlineStr">
        <is>
          <t>02:40 PM - 04:00 PM</t>
        </is>
      </c>
      <c r="D73" t="inlineStr">
        <is>
          <t>01:20</t>
        </is>
      </c>
      <c r="E73">
        <f>HOUR(D73)+MINUTE(D73)/100</f>
        <v/>
      </c>
      <c r="F73">
        <f>ROUND(INT(E73) + (E73 - INT(E73)) * 100 / 60, 2)</f>
        <v/>
      </c>
      <c r="G73">
        <f>E73*4</f>
        <v/>
      </c>
      <c r="H73">
        <f>LET(total, INT(E73)*60 + (E73-INT(E73))*100, blocks, QUOTIENT(total, 15), extra, MOD(total, 15), units, blocks + IF(extra&gt;=8, 1, 0), units)</f>
        <v/>
      </c>
      <c r="I73" t="inlineStr">
        <is>
          <t>O&amp;D 
97155</t>
        </is>
      </c>
      <c r="J73">
        <f>IF(L73="Level 1", VLOOKUP(I73, UserCodes!E:F, 2, FALSE) * H73, IF(L73="Level 2", VLOOKUP(I73, UserCodes!E:F, 2, FALSE) * H73 * 0.8, 0))</f>
        <v/>
      </c>
      <c r="K73" t="inlineStr">
        <is>
          <t>Hawadle, Abdiaziz</t>
        </is>
      </c>
      <c r="L73">
        <f>VLOOKUP(K73, UserCodes!A:B, 2, FALSE)</f>
        <v/>
      </c>
    </row>
    <row r="74">
      <c r="A74" t="inlineStr">
        <is>
          <t>Yusuf 2, Khadra</t>
        </is>
      </c>
      <c r="B74" s="3" t="n">
        <v>46004</v>
      </c>
      <c r="C74" t="inlineStr">
        <is>
          <t>09:00 AM - 12:00 PM</t>
        </is>
      </c>
      <c r="D74" t="inlineStr">
        <is>
          <t>03:00</t>
        </is>
      </c>
      <c r="E74">
        <f>HOUR(D74)+MINUTE(D74)/100</f>
        <v/>
      </c>
      <c r="F74">
        <f>ROUND(INT(E74) + (E74 - INT(E74)) * 100 / 60, 2)</f>
        <v/>
      </c>
      <c r="G74">
        <f>E74*4</f>
        <v/>
      </c>
      <c r="H74">
        <f>LET(total, INT(E74)*60 + (E74-INT(E74))*100, blocks, QUOTIENT(total, 15), extra, MOD(total, 15), units, blocks + IF(extra&gt;=8, 1, 0), units)</f>
        <v/>
      </c>
      <c r="I74" t="inlineStr">
        <is>
          <t>1/1 
97153</t>
        </is>
      </c>
      <c r="J74">
        <f>IF(L74="Level 1", VLOOKUP(I74, UserCodes!E:F, 2, FALSE) * H74, IF(L74="Level 2", VLOOKUP(I74, UserCodes!E:F, 2, FALSE) * H74 * 0.8, 0))</f>
        <v/>
      </c>
      <c r="K74" t="inlineStr">
        <is>
          <t>Muse, Ayni</t>
        </is>
      </c>
      <c r="L74">
        <f>VLOOKUP(K74, UserCodes!A:B, 2, FALSE)</f>
        <v/>
      </c>
    </row>
    <row r="75">
      <c r="A75" t="inlineStr">
        <is>
          <t>Abdi, Safia</t>
        </is>
      </c>
      <c r="B75" s="3" t="n">
        <v>46004</v>
      </c>
      <c r="C75" t="inlineStr">
        <is>
          <t>09:00 AM - 11:30 AM</t>
        </is>
      </c>
      <c r="D75" t="inlineStr">
        <is>
          <t>02:30</t>
        </is>
      </c>
      <c r="E75">
        <f>HOUR(D75)+MINUTE(D75)/100</f>
        <v/>
      </c>
      <c r="F75">
        <f>ROUND(INT(E75) + (E75 - INT(E75)) * 100 / 60, 2)</f>
        <v/>
      </c>
      <c r="G75">
        <f>E75*4</f>
        <v/>
      </c>
      <c r="H75">
        <f>LET(total, INT(E75)*60 + (E75-INT(E75))*100, blocks, QUOTIENT(total, 15), extra, MOD(total, 15), units, blocks + IF(extra&gt;=8, 1, 0), units)</f>
        <v/>
      </c>
      <c r="J75">
        <f>IF(L75="Level 1", VLOOKUP(I75, UserCodes!E:F, 2, FALSE) * H75, IF(L75="Level 2", VLOOKUP(I75, UserCodes!E:F, 2, FALSE) * H75 * 0.8, 0))</f>
        <v/>
      </c>
      <c r="K75" t="inlineStr">
        <is>
          <t>Ahmed, Jama</t>
        </is>
      </c>
      <c r="L75">
        <f>VLOOKUP(K75, UserCodes!A:B, 2, FALSE)</f>
        <v/>
      </c>
      <c r="M75" t="inlineStr">
        <is>
          <t>No schedule</t>
        </is>
      </c>
    </row>
    <row r="76">
      <c r="A76" t="inlineStr">
        <is>
          <t>Jama, Khadija</t>
        </is>
      </c>
      <c r="B76" s="3" t="n">
        <v>46004</v>
      </c>
      <c r="C76" t="inlineStr">
        <is>
          <t>12:00 PM - 03:00 PM</t>
        </is>
      </c>
      <c r="D76" t="inlineStr">
        <is>
          <t>03:00</t>
        </is>
      </c>
      <c r="E76">
        <f>HOUR(D76)+MINUTE(D76)/100</f>
        <v/>
      </c>
      <c r="F76">
        <f>ROUND(INT(E76) + (E76 - INT(E76)) * 100 / 60, 2)</f>
        <v/>
      </c>
      <c r="G76">
        <f>E76*4</f>
        <v/>
      </c>
      <c r="H76">
        <f>LET(total, INT(E76)*60 + (E76-INT(E76))*100, blocks, QUOTIENT(total, 15), extra, MOD(total, 15), units, blocks + IF(extra&gt;=8, 1, 0), units)</f>
        <v/>
      </c>
      <c r="I76" t="inlineStr">
        <is>
          <t>O&amp;D 
97155</t>
        </is>
      </c>
      <c r="J76">
        <f>IF(L76="Level 1", VLOOKUP(I76, UserCodes!E:F, 2, FALSE) * H76, IF(L76="Level 2", VLOOKUP(I76, UserCodes!E:F, 2, FALSE) * H76 * 0.8, 0))</f>
        <v/>
      </c>
      <c r="K76" t="inlineStr">
        <is>
          <t>Muse, Ayni</t>
        </is>
      </c>
      <c r="L76">
        <f>VLOOKUP(K76, UserCodes!A:B, 2, FALSE)</f>
        <v/>
      </c>
    </row>
    <row r="77">
      <c r="A77" t="inlineStr">
        <is>
          <t>Abdi, Samira</t>
        </is>
      </c>
      <c r="B77" s="3" t="n">
        <v>46004</v>
      </c>
      <c r="C77" t="inlineStr">
        <is>
          <t>10:00 AM - 01:00 PM</t>
        </is>
      </c>
      <c r="D77" t="inlineStr">
        <is>
          <t>03:00</t>
        </is>
      </c>
      <c r="E77">
        <f>HOUR(D77)+MINUTE(D77)/100</f>
        <v/>
      </c>
      <c r="F77">
        <f>ROUND(INT(E77) + (E77 - INT(E77)) * 100 / 60, 2)</f>
        <v/>
      </c>
      <c r="G77">
        <f>E77*4</f>
        <v/>
      </c>
      <c r="H77">
        <f>LET(total, INT(E77)*60 + (E77-INT(E77))*100, blocks, QUOTIENT(total, 15), extra, MOD(total, 15), units, blocks + IF(extra&gt;=8, 1, 0), units)</f>
        <v/>
      </c>
      <c r="I77" t="inlineStr">
        <is>
          <t>O&amp;D 
97155</t>
        </is>
      </c>
      <c r="J77">
        <f>IF(L77="Level 1", VLOOKUP(I77, UserCodes!E:F, 2, FALSE) * H77, IF(L77="Level 2", VLOOKUP(I77, UserCodes!E:F, 2, FALSE) * H77 * 0.8, 0))</f>
        <v/>
      </c>
      <c r="K77" t="inlineStr">
        <is>
          <t>Muse, Adna</t>
        </is>
      </c>
      <c r="L77">
        <f>VLOOKUP(K77, UserCodes!A:B, 2, FALSE)</f>
        <v/>
      </c>
    </row>
    <row r="78">
      <c r="A78" t="inlineStr">
        <is>
          <t>Jama, Khadija</t>
        </is>
      </c>
      <c r="B78" s="3" t="n">
        <v>46004</v>
      </c>
      <c r="C78" t="inlineStr">
        <is>
          <t>10:00am - 03:00pm</t>
        </is>
      </c>
      <c r="E78">
        <f>HOUR(D78)+MINUTE(D78)/100</f>
        <v/>
      </c>
      <c r="F78">
        <f>ROUND(INT(E78) + (E78 - INT(E78)) * 100 / 60, 2)</f>
        <v/>
      </c>
      <c r="G78">
        <f>E78*4</f>
        <v/>
      </c>
      <c r="H78">
        <f>LET(total, INT(E78)*60 + (E78-INT(E78))*100, blocks, QUOTIENT(total, 15), extra, MOD(total, 15), units, blocks + IF(extra&gt;=8, 1, 0), units)</f>
        <v/>
      </c>
      <c r="I78" t="inlineStr">
        <is>
          <t>1/1 
97153</t>
        </is>
      </c>
      <c r="J78">
        <f>IF(L78="Level 1", VLOOKUP(I78, UserCodes!E:F, 2, FALSE) * H78, IF(L78="Level 2", VLOOKUP(I78, UserCodes!E:F, 2, FALSE) * H78 * 0.8, 0))</f>
        <v/>
      </c>
      <c r="K78" t="inlineStr">
        <is>
          <t>Abdulle, Zamzam</t>
        </is>
      </c>
      <c r="L78">
        <f>VLOOKUP(K78, UserCodes!A:B, 2, FALSE)</f>
        <v/>
      </c>
      <c r="M78" t="inlineStr">
        <is>
          <t>No note</t>
        </is>
      </c>
    </row>
    <row r="79">
      <c r="A79" t="inlineStr">
        <is>
          <t>Kadir, Hamdi</t>
        </is>
      </c>
      <c r="B79" s="3" t="n">
        <v>46004</v>
      </c>
      <c r="C79" t="inlineStr">
        <is>
          <t>11:00 AM - 06:00 PM</t>
        </is>
      </c>
      <c r="D79" t="inlineStr">
        <is>
          <t>07:00</t>
        </is>
      </c>
      <c r="E79">
        <f>HOUR(D79)+MINUTE(D79)/100</f>
        <v/>
      </c>
      <c r="F79">
        <f>ROUND(INT(E79) + (E79 - INT(E79)) * 100 / 60, 2)</f>
        <v/>
      </c>
      <c r="G79">
        <f>E79*4</f>
        <v/>
      </c>
      <c r="H79">
        <f>LET(total, INT(E79)*60 + (E79-INT(E79))*100, blocks, QUOTIENT(total, 15), extra, MOD(total, 15), units, blocks + IF(extra&gt;=8, 1, 0), units)</f>
        <v/>
      </c>
      <c r="I79" t="inlineStr">
        <is>
          <t>1/1 
97153</t>
        </is>
      </c>
      <c r="J79">
        <f>IF(L79="Level 1", VLOOKUP(I79, UserCodes!E:F, 2, FALSE) * H79, IF(L79="Level 2", VLOOKUP(I79, UserCodes!E:F, 2, FALSE) * H79 * 0.8, 0))</f>
        <v/>
      </c>
      <c r="K79" t="inlineStr">
        <is>
          <t>Mohamed, Samsam</t>
        </is>
      </c>
      <c r="L79">
        <f>VLOOKUP(K79, UserCodes!A:B, 2, FALSE)</f>
        <v/>
      </c>
    </row>
    <row r="80">
      <c r="A80" t="inlineStr">
        <is>
          <t>Kadir, Hamdi</t>
        </is>
      </c>
      <c r="B80" s="3" t="n">
        <v>46004</v>
      </c>
      <c r="C80" t="inlineStr">
        <is>
          <t>10:00 AM - 01:00 PM</t>
        </is>
      </c>
      <c r="D80" t="inlineStr">
        <is>
          <t>03:00</t>
        </is>
      </c>
      <c r="E80">
        <f>HOUR(D80)+MINUTE(D80)/100</f>
        <v/>
      </c>
      <c r="F80">
        <f>ROUND(INT(E80) + (E80 - INT(E80)) * 100 / 60, 2)</f>
        <v/>
      </c>
      <c r="G80">
        <f>E80*4</f>
        <v/>
      </c>
      <c r="H80">
        <f>LET(total, INT(E80)*60 + (E80-INT(E80))*100, blocks, QUOTIENT(total, 15), extra, MOD(total, 15), units, blocks + IF(extra&gt;=8, 1, 0), units)</f>
        <v/>
      </c>
      <c r="I80" t="inlineStr">
        <is>
          <t>O&amp;D 
97155</t>
        </is>
      </c>
      <c r="J80">
        <f>IF(L80="Level 1", VLOOKUP(I80, UserCodes!E:F, 2, FALSE) * H80, IF(L80="Level 2", VLOOKUP(I80, UserCodes!E:F, 2, FALSE) * H80 * 0.8, 0))</f>
        <v/>
      </c>
      <c r="K80" t="inlineStr">
        <is>
          <t>Hawadle, Abdiaziz</t>
        </is>
      </c>
      <c r="L80">
        <f>VLOOKUP(K80, UserCodes!A:B, 2, FALSE)</f>
        <v/>
      </c>
    </row>
    <row r="81">
      <c r="A81" t="inlineStr">
        <is>
          <t>Abdi, Ahmed</t>
        </is>
      </c>
      <c r="B81" s="3" t="n">
        <v>46004</v>
      </c>
      <c r="C81" t="inlineStr">
        <is>
          <t>10:00 AM - 03:32 PM</t>
        </is>
      </c>
      <c r="D81" t="inlineStr">
        <is>
          <t>05:32</t>
        </is>
      </c>
      <c r="E81">
        <f>HOUR(D81)+MINUTE(D81)/100</f>
        <v/>
      </c>
      <c r="F81">
        <f>ROUND(INT(E81) + (E81 - INT(E81)) * 100 / 60, 2)</f>
        <v/>
      </c>
      <c r="G81">
        <f>E81*4</f>
        <v/>
      </c>
      <c r="H81">
        <f>LET(total, INT(E81)*60 + (E81-INT(E81))*100, blocks, QUOTIENT(total, 15), extra, MOD(total, 15), units, blocks + IF(extra&gt;=8, 1, 0), units)</f>
        <v/>
      </c>
      <c r="I81" t="inlineStr">
        <is>
          <t>1/1 
97153</t>
        </is>
      </c>
      <c r="J81">
        <f>IF(L81="Level 1", VLOOKUP(I81, UserCodes!E:F, 2, FALSE) * H81, IF(L81="Level 2", VLOOKUP(I81, UserCodes!E:F, 2, FALSE) * H81 * 0.8, 0))</f>
        <v/>
      </c>
      <c r="K81" t="inlineStr">
        <is>
          <t>Omar, Mohamed</t>
        </is>
      </c>
      <c r="L81">
        <f>VLOOKUP(K81, UserCodes!A:B, 2, FALSE)</f>
        <v/>
      </c>
    </row>
    <row r="82">
      <c r="A82" t="inlineStr">
        <is>
          <t>Abdi, Ahmed</t>
        </is>
      </c>
      <c r="B82" s="3" t="n">
        <v>46004</v>
      </c>
      <c r="C82" t="inlineStr">
        <is>
          <t>01:00 PM - 04:00 PM</t>
        </is>
      </c>
      <c r="D82" t="inlineStr">
        <is>
          <t>03:00</t>
        </is>
      </c>
      <c r="E82">
        <f>HOUR(D82)+MINUTE(D82)/100</f>
        <v/>
      </c>
      <c r="F82">
        <f>ROUND(INT(E82) + (E82 - INT(E82)) * 100 / 60, 2)</f>
        <v/>
      </c>
      <c r="G82">
        <f>E82*4</f>
        <v/>
      </c>
      <c r="H82">
        <f>LET(total, INT(E82)*60 + (E82-INT(E82))*100, blocks, QUOTIENT(total, 15), extra, MOD(total, 15), units, blocks + IF(extra&gt;=8, 1, 0), units)</f>
        <v/>
      </c>
      <c r="I82" t="inlineStr">
        <is>
          <t>O&amp;D 
97155</t>
        </is>
      </c>
      <c r="J82">
        <f>IF(L82="Level 1", VLOOKUP(I82, UserCodes!E:F, 2, FALSE) * H82, IF(L82="Level 2", VLOOKUP(I82, UserCodes!E:F, 2, FALSE) * H82 * 0.8, 0))</f>
        <v/>
      </c>
      <c r="K82" t="inlineStr">
        <is>
          <t>Muse, Adna</t>
        </is>
      </c>
      <c r="L82">
        <f>VLOOKUP(K82, UserCodes!A:B, 2, FALSE)</f>
        <v/>
      </c>
    </row>
    <row r="83">
      <c r="A83" t="inlineStr">
        <is>
          <t>Abdi, Ahmed</t>
        </is>
      </c>
      <c r="B83" s="3" t="n">
        <v>46004</v>
      </c>
      <c r="C83" t="inlineStr">
        <is>
          <t>04:02 PM - 06:00 PM</t>
        </is>
      </c>
      <c r="D83" t="inlineStr">
        <is>
          <t>01:58</t>
        </is>
      </c>
      <c r="E83">
        <f>HOUR(D83)+MINUTE(D83)/100</f>
        <v/>
      </c>
      <c r="F83">
        <f>ROUND(INT(E83) + (E83 - INT(E83)) * 100 / 60, 2)</f>
        <v/>
      </c>
      <c r="G83">
        <f>E83*4</f>
        <v/>
      </c>
      <c r="H83">
        <f>LET(total, INT(E83)*60 + (E83-INT(E83))*100, blocks, QUOTIENT(total, 15), extra, MOD(total, 15), units, blocks + IF(extra&gt;=8, 1, 0), units)</f>
        <v/>
      </c>
      <c r="I83" t="inlineStr">
        <is>
          <t>1/1 
97153</t>
        </is>
      </c>
      <c r="J83">
        <f>IF(L83="Level 1", VLOOKUP(I83, UserCodes!E:F, 2, FALSE) * H83, IF(L83="Level 2", VLOOKUP(I83, UserCodes!E:F, 2, FALSE) * H83 * 0.8, 0))</f>
        <v/>
      </c>
      <c r="K83" t="inlineStr">
        <is>
          <t>Omar, Mohamed</t>
        </is>
      </c>
      <c r="L83">
        <f>VLOOKUP(K83, UserCodes!A:B, 2, FALSE)</f>
        <v/>
      </c>
    </row>
    <row r="84">
      <c r="A84" t="inlineStr">
        <is>
          <t>Sulub, Sharmake</t>
        </is>
      </c>
      <c r="B84" s="3" t="n">
        <v>46004</v>
      </c>
      <c r="C84" t="inlineStr">
        <is>
          <t>12:30 PM - 02:50 PM</t>
        </is>
      </c>
      <c r="D84" t="inlineStr">
        <is>
          <t>02:20</t>
        </is>
      </c>
      <c r="E84">
        <f>HOUR(D84)+MINUTE(D84)/100</f>
        <v/>
      </c>
      <c r="F84">
        <f>ROUND(INT(E84) + (E84 - INT(E84)) * 100 / 60, 2)</f>
        <v/>
      </c>
      <c r="G84">
        <f>E84*4</f>
        <v/>
      </c>
      <c r="H84">
        <f>LET(total, INT(E84)*60 + (E84-INT(E84))*100, blocks, QUOTIENT(total, 15), extra, MOD(total, 15), units, blocks + IF(extra&gt;=8, 1, 0), units)</f>
        <v/>
      </c>
      <c r="J84">
        <f>IF(L84="Level 1", VLOOKUP(I84, UserCodes!E:F, 2, FALSE) * H84, IF(L84="Level 2", VLOOKUP(I84, UserCodes!E:F, 2, FALSE) * H84 * 0.8, 0))</f>
        <v/>
      </c>
      <c r="K84" t="inlineStr">
        <is>
          <t>Ahmed, Jama</t>
        </is>
      </c>
      <c r="L84">
        <f>VLOOKUP(K84, UserCodes!A:B, 2, FALSE)</f>
        <v/>
      </c>
      <c r="M84" t="inlineStr">
        <is>
          <t>No schedule</t>
        </is>
      </c>
    </row>
    <row r="85">
      <c r="A85" t="inlineStr">
        <is>
          <t>Sulub, Sharmake</t>
        </is>
      </c>
      <c r="B85" s="3" t="n">
        <v>46004</v>
      </c>
      <c r="C85" t="inlineStr">
        <is>
          <t>12:00 PM - 03:00 PM</t>
        </is>
      </c>
      <c r="D85" t="inlineStr">
        <is>
          <t>03:00</t>
        </is>
      </c>
      <c r="E85">
        <f>HOUR(D85)+MINUTE(D85)/100</f>
        <v/>
      </c>
      <c r="F85">
        <f>ROUND(INT(E85) + (E85 - INT(E85)) * 100 / 60, 2)</f>
        <v/>
      </c>
      <c r="G85">
        <f>E85*4</f>
        <v/>
      </c>
      <c r="H85">
        <f>LET(total, INT(E85)*60 + (E85-INT(E85))*100, blocks, QUOTIENT(total, 15), extra, MOD(total, 15), units, blocks + IF(extra&gt;=8, 1, 0), units)</f>
        <v/>
      </c>
      <c r="I85" t="inlineStr">
        <is>
          <t>O&amp;D 
97155</t>
        </is>
      </c>
      <c r="J85">
        <f>IF(L85="Level 1", VLOOKUP(I85, UserCodes!E:F, 2, FALSE) * H85, IF(L85="Level 2", VLOOKUP(I85, UserCodes!E:F, 2, FALSE) * H85 * 0.8, 0))</f>
        <v/>
      </c>
      <c r="K85" t="inlineStr">
        <is>
          <t>Muse, Aaliya</t>
        </is>
      </c>
      <c r="L85">
        <f>VLOOKUP(K85, UserCodes!A:B, 2, FALSE)</f>
        <v/>
      </c>
    </row>
    <row r="86">
      <c r="A86" t="inlineStr">
        <is>
          <t>Sulub, Sharmake</t>
        </is>
      </c>
      <c r="B86" s="3" t="n">
        <v>46004</v>
      </c>
      <c r="C86" t="inlineStr">
        <is>
          <t>10:30 AM - 06:00 PM</t>
        </is>
      </c>
      <c r="D86" t="inlineStr">
        <is>
          <t>07:30</t>
        </is>
      </c>
      <c r="E86">
        <f>HOUR(D86)+MINUTE(D86)/100</f>
        <v/>
      </c>
      <c r="F86">
        <f>ROUND(INT(E86) + (E86 - INT(E86)) * 100 / 60, 2)</f>
        <v/>
      </c>
      <c r="G86">
        <f>E86*4</f>
        <v/>
      </c>
      <c r="H86">
        <f>LET(total, INT(E86)*60 + (E86-INT(E86))*100, blocks, QUOTIENT(total, 15), extra, MOD(total, 15), units, blocks + IF(extra&gt;=8, 1, 0), units)</f>
        <v/>
      </c>
      <c r="I86" t="inlineStr">
        <is>
          <t>1/1 
97153</t>
        </is>
      </c>
      <c r="J86">
        <f>IF(L86="Level 1", VLOOKUP(I86, UserCodes!E:F, 2, FALSE) * H86, IF(L86="Level 2", VLOOKUP(I86, UserCodes!E:F, 2, FALSE) * H86 * 0.8, 0))</f>
        <v/>
      </c>
      <c r="K86" t="inlineStr">
        <is>
          <t>Ali, Nasteho</t>
        </is>
      </c>
      <c r="L86">
        <f>VLOOKUP(K86, UserCodes!A:B, 2, FALSE)</f>
        <v/>
      </c>
    </row>
    <row r="87">
      <c r="A87" t="inlineStr">
        <is>
          <t>Yusuf 2, Khadra</t>
        </is>
      </c>
      <c r="B87" s="3" t="n">
        <v>46004</v>
      </c>
      <c r="C87" t="inlineStr">
        <is>
          <t>09:15 AM - 05:00 PM</t>
        </is>
      </c>
      <c r="D87" t="inlineStr">
        <is>
          <t>07:45</t>
        </is>
      </c>
      <c r="E87">
        <f>HOUR(D87)+MINUTE(D87)/100</f>
        <v/>
      </c>
      <c r="F87">
        <f>ROUND(INT(E87) + (E87 - INT(E87)) * 100 / 60, 2)</f>
        <v/>
      </c>
      <c r="G87">
        <f>E87*4</f>
        <v/>
      </c>
      <c r="H87">
        <f>LET(total, INT(E87)*60 + (E87-INT(E87))*100, blocks, QUOTIENT(total, 15), extra, MOD(total, 15), units, blocks + IF(extra&gt;=8, 1, 0), units)</f>
        <v/>
      </c>
      <c r="I87" t="inlineStr">
        <is>
          <t>1/1 
97153</t>
        </is>
      </c>
      <c r="J87">
        <f>IF(L87="Level 1", VLOOKUP(I87, UserCodes!E:F, 2, FALSE) * H87, IF(L87="Level 2", VLOOKUP(I87, UserCodes!E:F, 2, FALSE) * H87 * 0.8, 0))</f>
        <v/>
      </c>
      <c r="K87" t="inlineStr">
        <is>
          <t>Ran, Sameya</t>
        </is>
      </c>
      <c r="L87">
        <f>VLOOKUP(K87, UserCodes!A:B, 2, FALSE)</f>
        <v/>
      </c>
    </row>
    <row r="88">
      <c r="A88" t="inlineStr">
        <is>
          <t>Jama, Khadija</t>
        </is>
      </c>
      <c r="B88" s="3" t="n">
        <v>46004</v>
      </c>
      <c r="C88" t="inlineStr">
        <is>
          <t>03:00 PM - 06:00 PM</t>
        </is>
      </c>
      <c r="D88" t="inlineStr">
        <is>
          <t>03:00</t>
        </is>
      </c>
      <c r="E88">
        <f>HOUR(D88)+MINUTE(D88)/100</f>
        <v/>
      </c>
      <c r="F88">
        <f>ROUND(INT(E88) + (E88 - INT(E88)) * 100 / 60, 2)</f>
        <v/>
      </c>
      <c r="G88">
        <f>E88*4</f>
        <v/>
      </c>
      <c r="H88">
        <f>LET(total, INT(E88)*60 + (E88-INT(E88))*100, blocks, QUOTIENT(total, 15), extra, MOD(total, 15), units, blocks + IF(extra&gt;=8, 1, 0), units)</f>
        <v/>
      </c>
      <c r="I88" t="inlineStr">
        <is>
          <t>1/1 
97153</t>
        </is>
      </c>
      <c r="J88">
        <f>IF(L88="Level 1", VLOOKUP(I88, UserCodes!E:F, 2, FALSE) * H88, IF(L88="Level 2", VLOOKUP(I88, UserCodes!E:F, 2, FALSE) * H88 * 0.8, 0))</f>
        <v/>
      </c>
      <c r="K88" t="inlineStr">
        <is>
          <t>Muse, Aaliya</t>
        </is>
      </c>
      <c r="L88">
        <f>VLOOKUP(K88, UserCodes!A:B, 2, FALSE)</f>
        <v/>
      </c>
    </row>
    <row r="89">
      <c r="A89" t="inlineStr">
        <is>
          <t>Abdi, Samira</t>
        </is>
      </c>
      <c r="B89" s="3" t="n">
        <v>46004</v>
      </c>
      <c r="C89" t="inlineStr">
        <is>
          <t>10:30 AM - 06:00 PM</t>
        </is>
      </c>
      <c r="D89" t="inlineStr">
        <is>
          <t>07:30</t>
        </is>
      </c>
      <c r="E89">
        <f>HOUR(D89)+MINUTE(D89)/100</f>
        <v/>
      </c>
      <c r="F89">
        <f>ROUND(INT(E89) + (E89 - INT(E89)) * 100 / 60, 2)</f>
        <v/>
      </c>
      <c r="G89">
        <f>E89*4</f>
        <v/>
      </c>
      <c r="H89">
        <f>LET(total, INT(E89)*60 + (E89-INT(E89))*100, blocks, QUOTIENT(total, 15), extra, MOD(total, 15), units, blocks + IF(extra&gt;=8, 1, 0), units)</f>
        <v/>
      </c>
      <c r="I89" t="inlineStr">
        <is>
          <t>1/1 
97153</t>
        </is>
      </c>
      <c r="J89">
        <f>IF(L89="Level 1", VLOOKUP(I89, UserCodes!E:F, 2, FALSE) * H89, IF(L89="Level 2", VLOOKUP(I89, UserCodes!E:F, 2, FALSE) * H89 * 0.8, 0))</f>
        <v/>
      </c>
      <c r="K89" t="inlineStr">
        <is>
          <t>Muse, Nawaal</t>
        </is>
      </c>
      <c r="L89">
        <f>VLOOKUP(K89, UserCodes!A:B, 2, FALSE)</f>
        <v/>
      </c>
    </row>
    <row r="90">
      <c r="A90" t="inlineStr">
        <is>
          <t>Abdi, Safia</t>
        </is>
      </c>
      <c r="B90" s="3" t="n">
        <v>46004</v>
      </c>
      <c r="C90" t="inlineStr">
        <is>
          <t>10:00 AM - 03:00 PM</t>
        </is>
      </c>
      <c r="D90" t="inlineStr">
        <is>
          <t>05:00</t>
        </is>
      </c>
      <c r="E90">
        <f>HOUR(D90)+MINUTE(D90)/100</f>
        <v/>
      </c>
      <c r="F90">
        <f>ROUND(INT(E90) + (E90 - INT(E90)) * 100 / 60, 2)</f>
        <v/>
      </c>
      <c r="G90">
        <f>E90*4</f>
        <v/>
      </c>
      <c r="H90">
        <f>LET(total, INT(E90)*60 + (E90-INT(E90))*100, blocks, QUOTIENT(total, 15), extra, MOD(total, 15), units, blocks + IF(extra&gt;=8, 1, 0), units)</f>
        <v/>
      </c>
      <c r="I90" t="inlineStr">
        <is>
          <t>O&amp;D 
97155</t>
        </is>
      </c>
      <c r="J90">
        <f>IF(L90="Level 1", VLOOKUP(I90, UserCodes!E:F, 2, FALSE) * H90, IF(L90="Level 2", VLOOKUP(I90, UserCodes!E:F, 2, FALSE) * H90 * 0.8, 0))</f>
        <v/>
      </c>
      <c r="K90" t="inlineStr">
        <is>
          <t>Osman, Basra</t>
        </is>
      </c>
      <c r="L90">
        <f>VLOOKUP(K90, UserCodes!A:B, 2, FALSE)</f>
        <v/>
      </c>
    </row>
    <row r="91">
      <c r="A91" t="inlineStr">
        <is>
          <t>Yusuf, Khadija</t>
        </is>
      </c>
      <c r="B91" s="3" t="n">
        <v>46004</v>
      </c>
      <c r="C91" t="inlineStr">
        <is>
          <t>02:00 PM - 02:30 PM</t>
        </is>
      </c>
      <c r="D91" t="inlineStr">
        <is>
          <t>00:30</t>
        </is>
      </c>
      <c r="E91">
        <f>HOUR(D91)+MINUTE(D91)/100</f>
        <v/>
      </c>
      <c r="F91">
        <f>ROUND(INT(E91) + (E91 - INT(E91)) * 100 / 60, 2)</f>
        <v/>
      </c>
      <c r="G91">
        <f>E91*4</f>
        <v/>
      </c>
      <c r="H91">
        <f>LET(total, INT(E91)*60 + (E91-INT(E91))*100, blocks, QUOTIENT(total, 15), extra, MOD(total, 15), units, blocks + IF(extra&gt;=8, 1, 0), units)</f>
        <v/>
      </c>
      <c r="I91" t="inlineStr">
        <is>
          <t>1/1 
97153</t>
        </is>
      </c>
      <c r="J91">
        <f>IF(L91="Level 1", VLOOKUP(I91, UserCodes!E:F, 2, FALSE) * H91, IF(L91="Level 2", VLOOKUP(I91, UserCodes!E:F, 2, FALSE) * H91 * 0.8, 0))</f>
        <v/>
      </c>
      <c r="K91" t="inlineStr">
        <is>
          <t>Ibrahim, Ahmed</t>
        </is>
      </c>
      <c r="L91">
        <f>VLOOKUP(K91, UserCodes!A:B, 2, FALSE)</f>
        <v/>
      </c>
    </row>
    <row r="92">
      <c r="A92" t="inlineStr">
        <is>
          <t>Abdi, Safia</t>
        </is>
      </c>
      <c r="B92" s="3" t="n">
        <v>46004</v>
      </c>
      <c r="C92" t="inlineStr">
        <is>
          <t>03:00 PM - 06:00 PM</t>
        </is>
      </c>
      <c r="D92" t="inlineStr">
        <is>
          <t>03:00</t>
        </is>
      </c>
      <c r="E92">
        <f>HOUR(D92)+MINUTE(D92)/100</f>
        <v/>
      </c>
      <c r="F92">
        <f>ROUND(INT(E92) + (E92 - INT(E92)) * 100 / 60, 2)</f>
        <v/>
      </c>
      <c r="G92">
        <f>E92*4</f>
        <v/>
      </c>
      <c r="H92">
        <f>LET(total, INT(E92)*60 + (E92-INT(E92))*100, blocks, QUOTIENT(total, 15), extra, MOD(total, 15), units, blocks + IF(extra&gt;=8, 1, 0), units)</f>
        <v/>
      </c>
      <c r="I92" t="inlineStr">
        <is>
          <t>O&amp;D 
97155</t>
        </is>
      </c>
      <c r="J92">
        <f>IF(L92="Level 1", VLOOKUP(I92, UserCodes!E:F, 2, FALSE) * H92, IF(L92="Level 2", VLOOKUP(I92, UserCodes!E:F, 2, FALSE) * H92 * 0.8, 0))</f>
        <v/>
      </c>
      <c r="K92" t="inlineStr">
        <is>
          <t>Osman, Basra</t>
        </is>
      </c>
      <c r="L92">
        <f>VLOOKUP(K92, UserCodes!A:B, 2, FALSE)</f>
        <v/>
      </c>
    </row>
    <row r="93">
      <c r="A93" t="inlineStr">
        <is>
          <t>Abdi, Safia</t>
        </is>
      </c>
      <c r="B93" s="3" t="n">
        <v>46004</v>
      </c>
      <c r="C93" t="inlineStr">
        <is>
          <t>03:00 PM - 06:00 PM</t>
        </is>
      </c>
      <c r="D93" t="inlineStr">
        <is>
          <t>03:00</t>
        </is>
      </c>
      <c r="E93">
        <f>HOUR(D93)+MINUTE(D93)/100</f>
        <v/>
      </c>
      <c r="F93">
        <f>ROUND(INT(E93) + (E93 - INT(E93)) * 100 / 60, 2)</f>
        <v/>
      </c>
      <c r="G93">
        <f>E93*4</f>
        <v/>
      </c>
      <c r="H93">
        <f>LET(total, INT(E93)*60 + (E93-INT(E93))*100, blocks, QUOTIENT(total, 15), extra, MOD(total, 15), units, blocks + IF(extra&gt;=8, 1, 0), units)</f>
        <v/>
      </c>
      <c r="I93" t="inlineStr">
        <is>
          <t>1/1 
97153</t>
        </is>
      </c>
      <c r="J93">
        <f>IF(L93="Level 1", VLOOKUP(I93, UserCodes!E:F, 2, FALSE) * H93, IF(L93="Level 2", VLOOKUP(I93, UserCodes!E:F, 2, FALSE) * H93 * 0.8, 0))</f>
        <v/>
      </c>
      <c r="K93" t="inlineStr">
        <is>
          <t>Muse, Ayni</t>
        </is>
      </c>
      <c r="L93">
        <f>VLOOKUP(K93, UserCodes!A:B, 2, FALSE)</f>
        <v/>
      </c>
    </row>
    <row r="94">
      <c r="A94" t="inlineStr">
        <is>
          <t>Yusuf, Khadija</t>
        </is>
      </c>
      <c r="B94" s="3" t="n">
        <v>46004</v>
      </c>
      <c r="C94" t="inlineStr">
        <is>
          <t>02:30 PM - 05:00 PM</t>
        </is>
      </c>
      <c r="D94" t="inlineStr">
        <is>
          <t>02:30</t>
        </is>
      </c>
      <c r="E94">
        <f>HOUR(D94)+MINUTE(D94)/100</f>
        <v/>
      </c>
      <c r="F94">
        <f>ROUND(INT(E94) + (E94 - INT(E94)) * 100 / 60, 2)</f>
        <v/>
      </c>
      <c r="G94">
        <f>E94*4</f>
        <v/>
      </c>
      <c r="H94">
        <f>LET(total, INT(E94)*60 + (E94-INT(E94))*100, blocks, QUOTIENT(total, 15), extra, MOD(total, 15), units, blocks + IF(extra&gt;=8, 1, 0), units)</f>
        <v/>
      </c>
      <c r="I94" t="inlineStr">
        <is>
          <t>1/1 
97153</t>
        </is>
      </c>
      <c r="J94">
        <f>IF(L94="Level 1", VLOOKUP(I94, UserCodes!E:F, 2, FALSE) * H94, IF(L94="Level 2", VLOOKUP(I94, UserCodes!E:F, 2, FALSE) * H94 * 0.8, 0))</f>
        <v/>
      </c>
      <c r="K94" t="inlineStr">
        <is>
          <t>Barqab, Mushtaq</t>
        </is>
      </c>
      <c r="L94">
        <f>VLOOKUP(K94, UserCodes!A:B, 2, FALSE)</f>
        <v/>
      </c>
    </row>
    <row r="95">
      <c r="A95" t="inlineStr">
        <is>
          <t>Yusuf, Khadija</t>
        </is>
      </c>
      <c r="B95" s="3" t="n">
        <v>46004</v>
      </c>
      <c r="C95" t="inlineStr">
        <is>
          <t>10:30 AM - 01:30 PM</t>
        </is>
      </c>
      <c r="D95" t="inlineStr">
        <is>
          <t>03:00</t>
        </is>
      </c>
      <c r="E95">
        <f>HOUR(D95)+MINUTE(D95)/100</f>
        <v/>
      </c>
      <c r="F95">
        <f>ROUND(INT(E95) + (E95 - INT(E95)) * 100 / 60, 2)</f>
        <v/>
      </c>
      <c r="G95">
        <f>E95*4</f>
        <v/>
      </c>
      <c r="H95">
        <f>LET(total, INT(E95)*60 + (E95-INT(E95))*100, blocks, QUOTIENT(total, 15), extra, MOD(total, 15), units, blocks + IF(extra&gt;=8, 1, 0), units)</f>
        <v/>
      </c>
      <c r="I95" t="inlineStr">
        <is>
          <t>1/1 
97153</t>
        </is>
      </c>
      <c r="J95">
        <f>IF(L95="Level 1", VLOOKUP(I95, UserCodes!E:F, 2, FALSE) * H95, IF(L95="Level 2", VLOOKUP(I95, UserCodes!E:F, 2, FALSE) * H95 * 0.8, 0))</f>
        <v/>
      </c>
      <c r="K95" t="inlineStr">
        <is>
          <t>Ibrahim, Ahmed</t>
        </is>
      </c>
      <c r="L95">
        <f>VLOOKUP(K95, UserCodes!A:B, 2, FALSE)</f>
        <v/>
      </c>
    </row>
    <row r="96">
      <c r="A96" t="inlineStr">
        <is>
          <t>Yusuf, Khadija</t>
        </is>
      </c>
      <c r="B96" s="3" t="n">
        <v>46004</v>
      </c>
      <c r="C96" t="inlineStr">
        <is>
          <t>09:00 AM - 02:00 PM</t>
        </is>
      </c>
      <c r="D96" t="inlineStr">
        <is>
          <t>05:00</t>
        </is>
      </c>
      <c r="E96">
        <f>HOUR(D96)+MINUTE(D96)/100</f>
        <v/>
      </c>
      <c r="F96">
        <f>ROUND(INT(E96) + (E96 - INT(E96)) * 100 / 60, 2)</f>
        <v/>
      </c>
      <c r="G96">
        <f>E96*4</f>
        <v/>
      </c>
      <c r="H96">
        <f>LET(total, INT(E96)*60 + (E96-INT(E96))*100, blocks, QUOTIENT(total, 15), extra, MOD(total, 15), units, blocks + IF(extra&gt;=8, 1, 0), units)</f>
        <v/>
      </c>
      <c r="I96" t="inlineStr">
        <is>
          <t>1/1 
97153</t>
        </is>
      </c>
      <c r="J96">
        <f>IF(L96="Level 1", VLOOKUP(I96, UserCodes!E:F, 2, FALSE) * H96, IF(L96="Level 2", VLOOKUP(I96, UserCodes!E:F, 2, FALSE) * H96 * 0.8, 0))</f>
        <v/>
      </c>
      <c r="K96" t="inlineStr">
        <is>
          <t>Barqab, Mushtaq</t>
        </is>
      </c>
      <c r="L96">
        <f>VLOOKUP(K96, UserCodes!A:B, 2, FALSE)</f>
        <v/>
      </c>
    </row>
    <row r="97">
      <c r="A97" t="inlineStr">
        <is>
          <t>Abdulkadir, Nadra</t>
        </is>
      </c>
      <c r="B97" s="3" t="n">
        <v>46005</v>
      </c>
      <c r="C97" t="inlineStr">
        <is>
          <t>09:30 AM - 11:45 AM</t>
        </is>
      </c>
      <c r="D97" t="inlineStr">
        <is>
          <t>02:15</t>
        </is>
      </c>
      <c r="E97">
        <f>HOUR(D97)+MINUTE(D97)/100</f>
        <v/>
      </c>
      <c r="F97">
        <f>ROUND(INT(E97) + (E97 - INT(E97)) * 100 / 60, 2)</f>
        <v/>
      </c>
      <c r="G97">
        <f>E97*4</f>
        <v/>
      </c>
      <c r="H97">
        <f>LET(total, INT(E97)*60 + (E97-INT(E97))*100, blocks, QUOTIENT(total, 15), extra, MOD(total, 15), units, blocks + IF(extra&gt;=8, 1, 0), units)</f>
        <v/>
      </c>
      <c r="J97">
        <f>IF(L97="Level 1", VLOOKUP(I97, UserCodes!E:F, 2, FALSE) * H97, IF(L97="Level 2", VLOOKUP(I97, UserCodes!E:F, 2, FALSE) * H97 * 0.8, 0))</f>
        <v/>
      </c>
      <c r="K97" t="inlineStr">
        <is>
          <t>Ahmed, Jama</t>
        </is>
      </c>
      <c r="L97">
        <f>VLOOKUP(K97, UserCodes!A:B, 2, FALSE)</f>
        <v/>
      </c>
      <c r="M97" t="inlineStr">
        <is>
          <t>No schedule</t>
        </is>
      </c>
    </row>
    <row r="98">
      <c r="A98" t="inlineStr">
        <is>
          <t>Abdullahi, Abdirahman</t>
        </is>
      </c>
      <c r="B98" s="3" t="n">
        <v>46005</v>
      </c>
      <c r="C98" t="inlineStr">
        <is>
          <t>12:50 PM - 03:30 PM</t>
        </is>
      </c>
      <c r="D98" t="inlineStr">
        <is>
          <t>02:40</t>
        </is>
      </c>
      <c r="E98">
        <f>HOUR(D98)+MINUTE(D98)/100</f>
        <v/>
      </c>
      <c r="F98">
        <f>ROUND(INT(E98) + (E98 - INT(E98)) * 100 / 60, 2)</f>
        <v/>
      </c>
      <c r="G98">
        <f>E98*4</f>
        <v/>
      </c>
      <c r="H98">
        <f>LET(total, INT(E98)*60 + (E98-INT(E98))*100, blocks, QUOTIENT(total, 15), extra, MOD(total, 15), units, blocks + IF(extra&gt;=8, 1, 0), units)</f>
        <v/>
      </c>
      <c r="J98">
        <f>IF(L98="Level 1", VLOOKUP(I98, UserCodes!E:F, 2, FALSE) * H98, IF(L98="Level 2", VLOOKUP(I98, UserCodes!E:F, 2, FALSE) * H98 * 0.8, 0))</f>
        <v/>
      </c>
      <c r="K98" t="inlineStr">
        <is>
          <t>Ahmed, Jama</t>
        </is>
      </c>
      <c r="L98">
        <f>VLOOKUP(K98, UserCodes!A:B, 2, FALSE)</f>
        <v/>
      </c>
      <c r="M98" t="inlineStr">
        <is>
          <t>No schedule</t>
        </is>
      </c>
    </row>
    <row r="99">
      <c r="A99" t="inlineStr">
        <is>
          <t>Omar, Abdiweli</t>
        </is>
      </c>
      <c r="B99" s="3" t="n">
        <v>46005</v>
      </c>
      <c r="C99" t="inlineStr">
        <is>
          <t>01:00 PM - 05:00 PM</t>
        </is>
      </c>
      <c r="D99" t="inlineStr">
        <is>
          <t>04:00</t>
        </is>
      </c>
      <c r="E99">
        <f>HOUR(D99)+MINUTE(D99)/100</f>
        <v/>
      </c>
      <c r="F99">
        <f>ROUND(INT(E99) + (E99 - INT(E99)) * 100 / 60, 2)</f>
        <v/>
      </c>
      <c r="G99">
        <f>E99*4</f>
        <v/>
      </c>
      <c r="H99">
        <f>LET(total, INT(E99)*60 + (E99-INT(E99))*100, blocks, QUOTIENT(total, 15), extra, MOD(total, 15), units, blocks + IF(extra&gt;=8, 1, 0), units)</f>
        <v/>
      </c>
      <c r="J99">
        <f>IF(L99="Level 1", VLOOKUP(I99, UserCodes!E:F, 2, FALSE) * H99, IF(L99="Level 2", VLOOKUP(I99, UserCodes!E:F, 2, FALSE) * H99 * 0.8, 0))</f>
        <v/>
      </c>
      <c r="K99" t="inlineStr">
        <is>
          <t>Webi3, Amina</t>
        </is>
      </c>
      <c r="L99">
        <f>VLOOKUP(K99, UserCodes!A:B, 2, FALSE)</f>
        <v/>
      </c>
      <c r="M99" t="inlineStr">
        <is>
          <t>No schedule</t>
        </is>
      </c>
    </row>
    <row r="100">
      <c r="A100" t="inlineStr">
        <is>
          <t>Abdi, Mohamed</t>
        </is>
      </c>
      <c r="B100" s="3" t="n">
        <v>46006</v>
      </c>
      <c r="C100" t="inlineStr">
        <is>
          <t>03:00 PM - 08:00 PM</t>
        </is>
      </c>
      <c r="D100" t="inlineStr">
        <is>
          <t>05:00</t>
        </is>
      </c>
      <c r="E100">
        <f>HOUR(D100)+MINUTE(D100)/100</f>
        <v/>
      </c>
      <c r="F100">
        <f>ROUND(INT(E100) + (E100 - INT(E100)) * 100 / 60, 2)</f>
        <v/>
      </c>
      <c r="G100">
        <f>E100*4</f>
        <v/>
      </c>
      <c r="H100">
        <f>LET(total, INT(E100)*60 + (E100-INT(E100))*100, blocks, QUOTIENT(total, 15), extra, MOD(total, 15), units, blocks + IF(extra&gt;=8, 1, 0), units)</f>
        <v/>
      </c>
      <c r="I100" t="inlineStr">
        <is>
          <t>1/1 
97153</t>
        </is>
      </c>
      <c r="J100">
        <f>IF(L100="Level 1", VLOOKUP(I100, UserCodes!E:F, 2, FALSE) * H100, IF(L100="Level 2", VLOOKUP(I100, UserCodes!E:F, 2, FALSE) * H100 * 0.8, 0))</f>
        <v/>
      </c>
      <c r="K100" t="inlineStr">
        <is>
          <t>Omar, Mohamed</t>
        </is>
      </c>
      <c r="L100">
        <f>VLOOKUP(K100, UserCodes!A:B, 2, FALSE)</f>
        <v/>
      </c>
    </row>
    <row r="101">
      <c r="A101" t="inlineStr">
        <is>
          <t>Abdulkadir, Nadra</t>
        </is>
      </c>
      <c r="B101" s="3" t="n">
        <v>46006</v>
      </c>
      <c r="C101" t="inlineStr">
        <is>
          <t>12:00 PM - 03:00 PM</t>
        </is>
      </c>
      <c r="D101" t="inlineStr">
        <is>
          <t>03:00</t>
        </is>
      </c>
      <c r="E101">
        <f>HOUR(D101)+MINUTE(D101)/100</f>
        <v/>
      </c>
      <c r="F101">
        <f>ROUND(INT(E101) + (E101 - INT(E101)) * 100 / 60, 2)</f>
        <v/>
      </c>
      <c r="G101">
        <f>E101*4</f>
        <v/>
      </c>
      <c r="H101">
        <f>LET(total, INT(E101)*60 + (E101-INT(E101))*100, blocks, QUOTIENT(total, 15), extra, MOD(total, 15), units, blocks + IF(extra&gt;=8, 1, 0), units)</f>
        <v/>
      </c>
      <c r="I101" t="inlineStr">
        <is>
          <t>O&amp;D 
97155</t>
        </is>
      </c>
      <c r="J101">
        <f>IF(L101="Level 1", VLOOKUP(I101, UserCodes!E:F, 2, FALSE) * H101, IF(L101="Level 2", VLOOKUP(I101, UserCodes!E:F, 2, FALSE) * H101 * 0.8, 0))</f>
        <v/>
      </c>
      <c r="K101" t="inlineStr">
        <is>
          <t>Mohamed, Madar</t>
        </is>
      </c>
      <c r="L101">
        <f>VLOOKUP(K101, UserCodes!A:B, 2, FALSE)</f>
        <v/>
      </c>
    </row>
    <row r="102">
      <c r="A102" t="inlineStr">
        <is>
          <t>Abdulkadir, Nadra</t>
        </is>
      </c>
      <c r="B102" s="3" t="n">
        <v>46006</v>
      </c>
      <c r="C102" t="inlineStr">
        <is>
          <t>11:30 AM - 06:30 PM</t>
        </is>
      </c>
      <c r="D102" t="inlineStr">
        <is>
          <t>07:00</t>
        </is>
      </c>
      <c r="E102">
        <f>HOUR(D102)+MINUTE(D102)/100</f>
        <v/>
      </c>
      <c r="F102">
        <f>ROUND(INT(E102) + (E102 - INT(E102)) * 100 / 60, 2)</f>
        <v/>
      </c>
      <c r="G102">
        <f>E102*4</f>
        <v/>
      </c>
      <c r="H102">
        <f>LET(total, INT(E102)*60 + (E102-INT(E102))*100, blocks, QUOTIENT(total, 15), extra, MOD(total, 15), units, blocks + IF(extra&gt;=8, 1, 0), units)</f>
        <v/>
      </c>
      <c r="I102" t="inlineStr">
        <is>
          <t>1/1 
97153</t>
        </is>
      </c>
      <c r="J102">
        <f>IF(L102="Level 1", VLOOKUP(I102, UserCodes!E:F, 2, FALSE) * H102, IF(L102="Level 2", VLOOKUP(I102, UserCodes!E:F, 2, FALSE) * H102 * 0.8, 0))</f>
        <v/>
      </c>
      <c r="K102" t="inlineStr">
        <is>
          <t>ALI, AMIRA</t>
        </is>
      </c>
      <c r="L102">
        <f>VLOOKUP(K102, UserCodes!A:B, 2, FALSE)</f>
        <v/>
      </c>
    </row>
    <row r="103">
      <c r="A103" t="inlineStr">
        <is>
          <t>Abdi, Salman</t>
        </is>
      </c>
      <c r="B103" s="3" t="n">
        <v>46006</v>
      </c>
      <c r="C103" t="inlineStr">
        <is>
          <t>07:00 PM - 08:00 PM</t>
        </is>
      </c>
      <c r="D103" t="inlineStr">
        <is>
          <t>01:00</t>
        </is>
      </c>
      <c r="E103">
        <f>HOUR(D103)+MINUTE(D103)/100</f>
        <v/>
      </c>
      <c r="F103">
        <f>ROUND(INT(E103) + (E103 - INT(E103)) * 100 / 60, 2)</f>
        <v/>
      </c>
      <c r="G103">
        <f>E103*4</f>
        <v/>
      </c>
      <c r="H103">
        <f>LET(total, INT(E103)*60 + (E103-INT(E103))*100, blocks, QUOTIENT(total, 15), extra, MOD(total, 15), units, blocks + IF(extra&gt;=8, 1, 0), units)</f>
        <v/>
      </c>
      <c r="I103" t="inlineStr">
        <is>
          <t>O&amp;D 
97155</t>
        </is>
      </c>
      <c r="J103">
        <f>IF(L103="Level 1", VLOOKUP(I103, UserCodes!E:F, 2, FALSE) * H103, IF(L103="Level 2", VLOOKUP(I103, UserCodes!E:F, 2, FALSE) * H103 * 0.8, 0))</f>
        <v/>
      </c>
      <c r="K103" t="inlineStr">
        <is>
          <t>Muse, Ayni</t>
        </is>
      </c>
      <c r="L103">
        <f>VLOOKUP(K103, UserCodes!A:B, 2, FALSE)</f>
        <v/>
      </c>
    </row>
    <row r="104">
      <c r="A104" t="inlineStr">
        <is>
          <t>Yusuf, Khadija</t>
        </is>
      </c>
      <c r="B104" s="3" t="n">
        <v>46006</v>
      </c>
      <c r="C104" t="inlineStr">
        <is>
          <t>01:00 PM - 06:00 PM</t>
        </is>
      </c>
      <c r="D104" t="inlineStr">
        <is>
          <t>05:00</t>
        </is>
      </c>
      <c r="E104">
        <f>HOUR(D104)+MINUTE(D104)/100</f>
        <v/>
      </c>
      <c r="F104">
        <f>ROUND(INT(E104) + (E104 - INT(E104)) * 100 / 60, 2)</f>
        <v/>
      </c>
      <c r="G104">
        <f>E104*4</f>
        <v/>
      </c>
      <c r="H104">
        <f>LET(total, INT(E104)*60 + (E104-INT(E104))*100, blocks, QUOTIENT(total, 15), extra, MOD(total, 15), units, blocks + IF(extra&gt;=8, 1, 0), units)</f>
        <v/>
      </c>
      <c r="I104" t="inlineStr">
        <is>
          <t>1/1 
97153</t>
        </is>
      </c>
      <c r="J104">
        <f>IF(L104="Level 1", VLOOKUP(I104, UserCodes!E:F, 2, FALSE) * H104, IF(L104="Level 2", VLOOKUP(I104, UserCodes!E:F, 2, FALSE) * H104 * 0.8, 0))</f>
        <v/>
      </c>
      <c r="K104" t="inlineStr">
        <is>
          <t>Ali, Naima</t>
        </is>
      </c>
      <c r="L104">
        <f>VLOOKUP(K104, UserCodes!A:B, 2, FALSE)</f>
        <v/>
      </c>
    </row>
    <row r="105">
      <c r="A105" t="inlineStr">
        <is>
          <t>Yusuf, Khadija</t>
        </is>
      </c>
      <c r="B105" s="3" t="n">
        <v>46006</v>
      </c>
      <c r="C105" t="inlineStr">
        <is>
          <t>10:00 AM - 12:00 PM</t>
        </is>
      </c>
      <c r="D105" t="inlineStr">
        <is>
          <t>02:00</t>
        </is>
      </c>
      <c r="E105">
        <f>HOUR(D105)+MINUTE(D105)/100</f>
        <v/>
      </c>
      <c r="F105">
        <f>ROUND(INT(E105) + (E105 - INT(E105)) * 100 / 60, 2)</f>
        <v/>
      </c>
      <c r="G105">
        <f>E105*4</f>
        <v/>
      </c>
      <c r="H105">
        <f>LET(total, INT(E105)*60 + (E105-INT(E105))*100, blocks, QUOTIENT(total, 15), extra, MOD(total, 15), units, blocks + IF(extra&gt;=8, 1, 0), units)</f>
        <v/>
      </c>
      <c r="J105">
        <f>IF(L105="Level 1", VLOOKUP(I105, UserCodes!E:F, 2, FALSE) * H105, IF(L105="Level 2", VLOOKUP(I105, UserCodes!E:F, 2, FALSE) * H105 * 0.8, 0))</f>
        <v/>
      </c>
      <c r="K105" t="inlineStr">
        <is>
          <t>Ahmed, Jama</t>
        </is>
      </c>
      <c r="L105">
        <f>VLOOKUP(K105, UserCodes!A:B, 2, FALSE)</f>
        <v/>
      </c>
      <c r="M105" t="inlineStr">
        <is>
          <t>No schedule</t>
        </is>
      </c>
    </row>
    <row r="106">
      <c r="A106" t="inlineStr">
        <is>
          <t>Ali, Saami</t>
        </is>
      </c>
      <c r="B106" s="3" t="n">
        <v>46006</v>
      </c>
      <c r="C106" t="inlineStr">
        <is>
          <t>03:15 PM - 08:00 PM</t>
        </is>
      </c>
      <c r="D106" t="inlineStr">
        <is>
          <t>04:45</t>
        </is>
      </c>
      <c r="E106">
        <f>HOUR(D106)+MINUTE(D106)/100</f>
        <v/>
      </c>
      <c r="F106">
        <f>ROUND(INT(E106) + (E106 - INT(E106)) * 100 / 60, 2)</f>
        <v/>
      </c>
      <c r="G106">
        <f>E106*4</f>
        <v/>
      </c>
      <c r="H106">
        <f>LET(total, INT(E106)*60 + (E106-INT(E106))*100, blocks, QUOTIENT(total, 15), extra, MOD(total, 15), units, blocks + IF(extra&gt;=8, 1, 0), units)</f>
        <v/>
      </c>
      <c r="I106" t="inlineStr">
        <is>
          <t>1/1 
97153</t>
        </is>
      </c>
      <c r="J106">
        <f>IF(L106="Level 1", VLOOKUP(I106, UserCodes!E:F, 2, FALSE) * H106, IF(L106="Level 2", VLOOKUP(I106, UserCodes!E:F, 2, FALSE) * H106 * 0.8, 0))</f>
        <v/>
      </c>
      <c r="K106" t="inlineStr">
        <is>
          <t>Muse, Aaliya</t>
        </is>
      </c>
      <c r="L106">
        <f>VLOOKUP(K106, UserCodes!A:B, 2, FALSE)</f>
        <v/>
      </c>
    </row>
    <row r="107">
      <c r="A107" t="inlineStr">
        <is>
          <t>Ali, Saami</t>
        </is>
      </c>
      <c r="B107" s="3" t="n">
        <v>46006</v>
      </c>
      <c r="C107" t="inlineStr">
        <is>
          <t>06:00 PM - 07:00 PM</t>
        </is>
      </c>
      <c r="D107" t="inlineStr">
        <is>
          <t>01:00</t>
        </is>
      </c>
      <c r="E107">
        <f>HOUR(D107)+MINUTE(D107)/100</f>
        <v/>
      </c>
      <c r="F107">
        <f>ROUND(INT(E107) + (E107 - INT(E107)) * 100 / 60, 2)</f>
        <v/>
      </c>
      <c r="G107">
        <f>E107*4</f>
        <v/>
      </c>
      <c r="H107">
        <f>LET(total, INT(E107)*60 + (E107-INT(E107))*100, blocks, QUOTIENT(total, 15), extra, MOD(total, 15), units, blocks + IF(extra&gt;=8, 1, 0), units)</f>
        <v/>
      </c>
      <c r="I107" t="inlineStr">
        <is>
          <t>O&amp;D 
97155</t>
        </is>
      </c>
      <c r="J107">
        <f>IF(L107="Level 1", VLOOKUP(I107, UserCodes!E:F, 2, FALSE) * H107, IF(L107="Level 2", VLOOKUP(I107, UserCodes!E:F, 2, FALSE) * H107 * 0.8, 0))</f>
        <v/>
      </c>
      <c r="K107" t="inlineStr">
        <is>
          <t>Barqab, Mushtaq</t>
        </is>
      </c>
      <c r="L107">
        <f>VLOOKUP(K107, UserCodes!A:B, 2, FALSE)</f>
        <v/>
      </c>
    </row>
    <row r="108">
      <c r="A108" t="inlineStr">
        <is>
          <t>Abdi, Mohamed</t>
        </is>
      </c>
      <c r="B108" s="3" t="n">
        <v>46006</v>
      </c>
      <c r="C108" t="inlineStr">
        <is>
          <t>06:15 PM - 08:00 PM</t>
        </is>
      </c>
      <c r="D108" t="inlineStr">
        <is>
          <t>01:45</t>
        </is>
      </c>
      <c r="E108">
        <f>HOUR(D108)+MINUTE(D108)/100</f>
        <v/>
      </c>
      <c r="F108">
        <f>ROUND(INT(E108) + (E108 - INT(E108)) * 100 / 60, 2)</f>
        <v/>
      </c>
      <c r="G108">
        <f>E108*4</f>
        <v/>
      </c>
      <c r="H108">
        <f>LET(total, INT(E108)*60 + (E108-INT(E108))*100, blocks, QUOTIENT(total, 15), extra, MOD(total, 15), units, blocks + IF(extra&gt;=8, 1, 0), units)</f>
        <v/>
      </c>
      <c r="I108" t="inlineStr">
        <is>
          <t>O&amp;D 
97155</t>
        </is>
      </c>
      <c r="J108">
        <f>IF(L108="Level 1", VLOOKUP(I108, UserCodes!E:F, 2, FALSE) * H108, IF(L108="Level 2", VLOOKUP(I108, UserCodes!E:F, 2, FALSE) * H108 * 0.8, 0))</f>
        <v/>
      </c>
      <c r="K108" t="inlineStr">
        <is>
          <t>Noor, Kamilo</t>
        </is>
      </c>
      <c r="L108">
        <f>VLOOKUP(K108, UserCodes!A:B, 2, FALSE)</f>
        <v/>
      </c>
    </row>
    <row r="109">
      <c r="A109" t="inlineStr">
        <is>
          <t>Mohamed, Sumaya</t>
        </is>
      </c>
      <c r="B109" s="3" t="n">
        <v>46006</v>
      </c>
      <c r="C109" t="inlineStr">
        <is>
          <t>12:00 PM - 05:00 PM</t>
        </is>
      </c>
      <c r="D109" t="inlineStr">
        <is>
          <t>05:00</t>
        </is>
      </c>
      <c r="E109">
        <f>HOUR(D109)+MINUTE(D109)/100</f>
        <v/>
      </c>
      <c r="F109">
        <f>ROUND(INT(E109) + (E109 - INT(E109)) * 100 / 60, 2)</f>
        <v/>
      </c>
      <c r="G109">
        <f>E109*4</f>
        <v/>
      </c>
      <c r="H109">
        <f>LET(total, INT(E109)*60 + (E109-INT(E109))*100, blocks, QUOTIENT(total, 15), extra, MOD(total, 15), units, blocks + IF(extra&gt;=8, 1, 0), units)</f>
        <v/>
      </c>
      <c r="I109" t="inlineStr">
        <is>
          <t>1/1 
97153</t>
        </is>
      </c>
      <c r="J109">
        <f>IF(L109="Level 1", VLOOKUP(I109, UserCodes!E:F, 2, FALSE) * H109, IF(L109="Level 2", VLOOKUP(I109, UserCodes!E:F, 2, FALSE) * H109 * 0.8, 0))</f>
        <v/>
      </c>
      <c r="K109" t="inlineStr">
        <is>
          <t>Hashi, Ridwan</t>
        </is>
      </c>
      <c r="L109">
        <f>VLOOKUP(K109, UserCodes!A:B, 2, FALSE)</f>
        <v/>
      </c>
    </row>
    <row r="110">
      <c r="A110" t="inlineStr">
        <is>
          <t>Abdi, Salman</t>
        </is>
      </c>
      <c r="B110" s="3" t="n">
        <v>46006</v>
      </c>
      <c r="C110" t="inlineStr">
        <is>
          <t>03:15 PM - 08:00 PM</t>
        </is>
      </c>
      <c r="D110" t="inlineStr">
        <is>
          <t>04:45</t>
        </is>
      </c>
      <c r="E110">
        <f>HOUR(D110)+MINUTE(D110)/100</f>
        <v/>
      </c>
      <c r="F110">
        <f>ROUND(INT(E110) + (E110 - INT(E110)) * 100 / 60, 2)</f>
        <v/>
      </c>
      <c r="G110">
        <f>E110*4</f>
        <v/>
      </c>
      <c r="H110">
        <f>LET(total, INT(E110)*60 + (E110-INT(E110))*100, blocks, QUOTIENT(total, 15), extra, MOD(total, 15), units, blocks + IF(extra&gt;=8, 1, 0), units)</f>
        <v/>
      </c>
      <c r="I110" t="inlineStr">
        <is>
          <t>1/1 
97153</t>
        </is>
      </c>
      <c r="J110">
        <f>IF(L110="Level 1", VLOOKUP(I110, UserCodes!E:F, 2, FALSE) * H110, IF(L110="Level 2", VLOOKUP(I110, UserCodes!E:F, 2, FALSE) * H110 * 0.8, 0))</f>
        <v/>
      </c>
      <c r="K110" t="inlineStr">
        <is>
          <t>Mohamed, Mohamed</t>
        </is>
      </c>
      <c r="L110">
        <f>VLOOKUP(K110, UserCodes!A:B, 2, FALSE)</f>
        <v/>
      </c>
    </row>
    <row r="111">
      <c r="A111" t="inlineStr">
        <is>
          <t>Abdullahi, Abdirahman</t>
        </is>
      </c>
      <c r="B111" s="3" t="n">
        <v>46006</v>
      </c>
      <c r="C111" t="inlineStr">
        <is>
          <t>01:00pm - 04:00pm</t>
        </is>
      </c>
      <c r="E111">
        <f>HOUR(D111)+MINUTE(D111)/100</f>
        <v/>
      </c>
      <c r="F111">
        <f>ROUND(INT(E111) + (E111 - INT(E111)) * 100 / 60, 2)</f>
        <v/>
      </c>
      <c r="G111">
        <f>E111*4</f>
        <v/>
      </c>
      <c r="H111">
        <f>LET(total, INT(E111)*60 + (E111-INT(E111))*100, blocks, QUOTIENT(total, 15), extra, MOD(total, 15), units, blocks + IF(extra&gt;=8, 1, 0), units)</f>
        <v/>
      </c>
      <c r="I111" t="inlineStr">
        <is>
          <t>O&amp;D 
97155</t>
        </is>
      </c>
      <c r="J111">
        <f>IF(L111="Level 1", VLOOKUP(I111, UserCodes!E:F, 2, FALSE) * H111, IF(L111="Level 2", VLOOKUP(I111, UserCodes!E:F, 2, FALSE) * H111 * 0.8, 0))</f>
        <v/>
      </c>
      <c r="K111" t="inlineStr">
        <is>
          <t>Abdulle, Zamzam</t>
        </is>
      </c>
      <c r="L111">
        <f>VLOOKUP(K111, UserCodes!A:B, 2, FALSE)</f>
        <v/>
      </c>
      <c r="M111" t="inlineStr">
        <is>
          <t>No note</t>
        </is>
      </c>
    </row>
    <row r="112">
      <c r="A112" t="inlineStr">
        <is>
          <t>Abdi, Ahmed</t>
        </is>
      </c>
      <c r="B112" s="3" t="n">
        <v>46006</v>
      </c>
      <c r="C112" t="inlineStr">
        <is>
          <t>03:00 PM - 06:00 PM</t>
        </is>
      </c>
      <c r="D112" t="inlineStr">
        <is>
          <t>03:00</t>
        </is>
      </c>
      <c r="E112">
        <f>HOUR(D112)+MINUTE(D112)/100</f>
        <v/>
      </c>
      <c r="F112">
        <f>ROUND(INT(E112) + (E112 - INT(E112)) * 100 / 60, 2)</f>
        <v/>
      </c>
      <c r="G112">
        <f>E112*4</f>
        <v/>
      </c>
      <c r="H112">
        <f>LET(total, INT(E112)*60 + (E112-INT(E112))*100, blocks, QUOTIENT(total, 15), extra, MOD(total, 15), units, blocks + IF(extra&gt;=8, 1, 0), units)</f>
        <v/>
      </c>
      <c r="I112" t="inlineStr">
        <is>
          <t>O&amp;D 
97155</t>
        </is>
      </c>
      <c r="J112">
        <f>IF(L112="Level 1", VLOOKUP(I112, UserCodes!E:F, 2, FALSE) * H112, IF(L112="Level 2", VLOOKUP(I112, UserCodes!E:F, 2, FALSE) * H112 * 0.8, 0))</f>
        <v/>
      </c>
      <c r="K112" t="inlineStr">
        <is>
          <t>Mohamed, Madar</t>
        </is>
      </c>
      <c r="L112">
        <f>VLOOKUP(K112, UserCodes!A:B, 2, FALSE)</f>
        <v/>
      </c>
    </row>
    <row r="113">
      <c r="A113" t="inlineStr">
        <is>
          <t>Omar, Abdiweli</t>
        </is>
      </c>
      <c r="B113" s="3" t="n">
        <v>46006</v>
      </c>
      <c r="C113" t="inlineStr">
        <is>
          <t>06:00 PM - 10:00 PM</t>
        </is>
      </c>
      <c r="D113" t="inlineStr">
        <is>
          <t>04:00</t>
        </is>
      </c>
      <c r="E113">
        <f>HOUR(D113)+MINUTE(D113)/100</f>
        <v/>
      </c>
      <c r="F113">
        <f>ROUND(INT(E113) + (E113 - INT(E113)) * 100 / 60, 2)</f>
        <v/>
      </c>
      <c r="G113">
        <f>E113*4</f>
        <v/>
      </c>
      <c r="H113">
        <f>LET(total, INT(E113)*60 + (E113-INT(E113))*100, blocks, QUOTIENT(total, 15), extra, MOD(total, 15), units, blocks + IF(extra&gt;=8, 1, 0), units)</f>
        <v/>
      </c>
      <c r="J113">
        <f>IF(L113="Level 1", VLOOKUP(I113, UserCodes!E:F, 2, FALSE) * H113, IF(L113="Level 2", VLOOKUP(I113, UserCodes!E:F, 2, FALSE) * H113 * 0.8, 0))</f>
        <v/>
      </c>
      <c r="K113" t="inlineStr">
        <is>
          <t>Webi3, Amina</t>
        </is>
      </c>
      <c r="L113">
        <f>VLOOKUP(K113, UserCodes!A:B, 2, FALSE)</f>
        <v/>
      </c>
      <c r="M113" t="inlineStr">
        <is>
          <t>No schedule</t>
        </is>
      </c>
    </row>
    <row r="114">
      <c r="A114" t="inlineStr">
        <is>
          <t>Abdullahi, Abdirahman</t>
        </is>
      </c>
      <c r="B114" s="3" t="n">
        <v>46006</v>
      </c>
      <c r="C114" t="inlineStr">
        <is>
          <t>04:00 PM - 05:00 PM</t>
        </is>
      </c>
      <c r="D114" t="inlineStr">
        <is>
          <t>01:00</t>
        </is>
      </c>
      <c r="E114">
        <f>HOUR(D114)+MINUTE(D114)/100</f>
        <v/>
      </c>
      <c r="F114">
        <f>ROUND(INT(E114) + (E114 - INT(E114)) * 100 / 60, 2)</f>
        <v/>
      </c>
      <c r="G114">
        <f>E114*4</f>
        <v/>
      </c>
      <c r="H114">
        <f>LET(total, INT(E114)*60 + (E114-INT(E114))*100, blocks, QUOTIENT(total, 15), extra, MOD(total, 15), units, blocks + IF(extra&gt;=8, 1, 0), units)</f>
        <v/>
      </c>
      <c r="I114" t="inlineStr">
        <is>
          <t>1/1 
97153</t>
        </is>
      </c>
      <c r="J114">
        <f>IF(L114="Level 1", VLOOKUP(I114, UserCodes!E:F, 2, FALSE) * H114, IF(L114="Level 2", VLOOKUP(I114, UserCodes!E:F, 2, FALSE) * H114 * 0.8, 0))</f>
        <v/>
      </c>
      <c r="K114" t="inlineStr">
        <is>
          <t>Hawadle, Abdiaziz</t>
        </is>
      </c>
      <c r="L114">
        <f>VLOOKUP(K114, UserCodes!A:B, 2, FALSE)</f>
        <v/>
      </c>
    </row>
    <row r="115">
      <c r="A115" t="inlineStr">
        <is>
          <t>Abdullahi, Abdirahman</t>
        </is>
      </c>
      <c r="B115" s="3" t="n">
        <v>46006</v>
      </c>
      <c r="C115" t="inlineStr">
        <is>
          <t>01:00 PM - 04:00 PM</t>
        </is>
      </c>
      <c r="D115" t="inlineStr">
        <is>
          <t>03:00</t>
        </is>
      </c>
      <c r="E115">
        <f>HOUR(D115)+MINUTE(D115)/100</f>
        <v/>
      </c>
      <c r="F115">
        <f>ROUND(INT(E115) + (E115 - INT(E115)) * 100 / 60, 2)</f>
        <v/>
      </c>
      <c r="G115">
        <f>E115*4</f>
        <v/>
      </c>
      <c r="H115">
        <f>LET(total, INT(E115)*60 + (E115-INT(E115))*100, blocks, QUOTIENT(total, 15), extra, MOD(total, 15), units, blocks + IF(extra&gt;=8, 1, 0), units)</f>
        <v/>
      </c>
      <c r="I115" t="inlineStr">
        <is>
          <t>1/1 
97153</t>
        </is>
      </c>
      <c r="J115">
        <f>IF(L115="Level 1", VLOOKUP(I115, UserCodes!E:F, 2, FALSE) * H115, IF(L115="Level 2", VLOOKUP(I115, UserCodes!E:F, 2, FALSE) * H115 * 0.8, 0))</f>
        <v/>
      </c>
      <c r="K115" t="inlineStr">
        <is>
          <t>Ali, Nasteho</t>
        </is>
      </c>
      <c r="L115">
        <f>VLOOKUP(K115, UserCodes!A:B, 2, FALSE)</f>
        <v/>
      </c>
    </row>
    <row r="116">
      <c r="A116" t="inlineStr">
        <is>
          <t>Kadir, Hamdi</t>
        </is>
      </c>
      <c r="B116" s="3" t="n">
        <v>46006</v>
      </c>
      <c r="C116" t="inlineStr">
        <is>
          <t>02:00 PM - 08:00 PM</t>
        </is>
      </c>
      <c r="D116" t="inlineStr">
        <is>
          <t>06:00</t>
        </is>
      </c>
      <c r="E116">
        <f>HOUR(D116)+MINUTE(D116)/100</f>
        <v/>
      </c>
      <c r="F116">
        <f>ROUND(INT(E116) + (E116 - INT(E116)) * 100 / 60, 2)</f>
        <v/>
      </c>
      <c r="G116">
        <f>E116*4</f>
        <v/>
      </c>
      <c r="H116">
        <f>LET(total, INT(E116)*60 + (E116-INT(E116))*100, blocks, QUOTIENT(total, 15), extra, MOD(total, 15), units, blocks + IF(extra&gt;=8, 1, 0), units)</f>
        <v/>
      </c>
      <c r="I116" t="inlineStr">
        <is>
          <t>1/1 
97153</t>
        </is>
      </c>
      <c r="J116">
        <f>IF(L116="Level 1", VLOOKUP(I116, UserCodes!E:F, 2, FALSE) * H116, IF(L116="Level 2", VLOOKUP(I116, UserCodes!E:F, 2, FALSE) * H116 * 0.8, 0))</f>
        <v/>
      </c>
      <c r="K116" t="inlineStr">
        <is>
          <t>Osman, Basra</t>
        </is>
      </c>
      <c r="L116">
        <f>VLOOKUP(K116, UserCodes!A:B, 2, FALSE)</f>
        <v/>
      </c>
    </row>
    <row r="117">
      <c r="A117" t="inlineStr">
        <is>
          <t>Mohamed, Sumaya</t>
        </is>
      </c>
      <c r="B117" s="3" t="n">
        <v>46006</v>
      </c>
      <c r="C117" t="inlineStr">
        <is>
          <t>01:00 PM - 04:00 PM</t>
        </is>
      </c>
      <c r="D117" t="inlineStr">
        <is>
          <t>03:00</t>
        </is>
      </c>
      <c r="E117">
        <f>HOUR(D117)+MINUTE(D117)/100</f>
        <v/>
      </c>
      <c r="F117">
        <f>ROUND(INT(E117) + (E117 - INT(E117)) * 100 / 60, 2)</f>
        <v/>
      </c>
      <c r="G117">
        <f>E117*4</f>
        <v/>
      </c>
      <c r="H117">
        <f>LET(total, INT(E117)*60 + (E117-INT(E117))*100, blocks, QUOTIENT(total, 15), extra, MOD(total, 15), units, blocks + IF(extra&gt;=8, 1, 0), units)</f>
        <v/>
      </c>
      <c r="I117" t="inlineStr">
        <is>
          <t>O&amp;D 
97155</t>
        </is>
      </c>
      <c r="J117">
        <f>IF(L117="Level 1", VLOOKUP(I117, UserCodes!E:F, 2, FALSE) * H117, IF(L117="Level 2", VLOOKUP(I117, UserCodes!E:F, 2, FALSE) * H117 * 0.8, 0))</f>
        <v/>
      </c>
      <c r="K117" t="inlineStr">
        <is>
          <t>Muse, Adna</t>
        </is>
      </c>
      <c r="L117">
        <f>VLOOKUP(K117, UserCodes!A:B, 2, FALSE)</f>
        <v/>
      </c>
    </row>
    <row r="118">
      <c r="A118" t="inlineStr">
        <is>
          <t>Abdi, Ahmed</t>
        </is>
      </c>
      <c r="B118" s="3" t="n">
        <v>46006</v>
      </c>
      <c r="C118" t="inlineStr">
        <is>
          <t>02:50 PM - 08:00 PM</t>
        </is>
      </c>
      <c r="D118" t="inlineStr">
        <is>
          <t>05:10</t>
        </is>
      </c>
      <c r="E118">
        <f>HOUR(D118)+MINUTE(D118)/100</f>
        <v/>
      </c>
      <c r="F118">
        <f>ROUND(INT(E118) + (E118 - INT(E118)) * 100 / 60, 2)</f>
        <v/>
      </c>
      <c r="G118">
        <f>E118*4</f>
        <v/>
      </c>
      <c r="H118">
        <f>LET(total, INT(E118)*60 + (E118-INT(E118))*100, blocks, QUOTIENT(total, 15), extra, MOD(total, 15), units, blocks + IF(extra&gt;=8, 1, 0), units)</f>
        <v/>
      </c>
      <c r="I118" t="inlineStr">
        <is>
          <t>1/1 
97153</t>
        </is>
      </c>
      <c r="J118">
        <f>IF(L118="Level 1", VLOOKUP(I118, UserCodes!E:F, 2, FALSE) * H118, IF(L118="Level 2", VLOOKUP(I118, UserCodes!E:F, 2, FALSE) * H118 * 0.8, 0))</f>
        <v/>
      </c>
      <c r="K118" t="inlineStr">
        <is>
          <t>Ibrahim, Ahmed</t>
        </is>
      </c>
      <c r="L118">
        <f>VLOOKUP(K118, UserCodes!A:B, 2, FALSE)</f>
        <v/>
      </c>
    </row>
    <row r="119">
      <c r="A119" t="inlineStr">
        <is>
          <t>Jama, Khadija</t>
        </is>
      </c>
      <c r="B119" s="3" t="n">
        <v>46006</v>
      </c>
      <c r="C119" t="inlineStr">
        <is>
          <t>03:45 PM - 06:00 PM</t>
        </is>
      </c>
      <c r="D119" t="inlineStr">
        <is>
          <t>02:15</t>
        </is>
      </c>
      <c r="E119">
        <f>HOUR(D119)+MINUTE(D119)/100</f>
        <v/>
      </c>
      <c r="F119">
        <f>ROUND(INT(E119) + (E119 - INT(E119)) * 100 / 60, 2)</f>
        <v/>
      </c>
      <c r="G119">
        <f>E119*4</f>
        <v/>
      </c>
      <c r="H119">
        <f>LET(total, INT(E119)*60 + (E119-INT(E119))*100, blocks, QUOTIENT(total, 15), extra, MOD(total, 15), units, blocks + IF(extra&gt;=8, 1, 0), units)</f>
        <v/>
      </c>
      <c r="I119" t="inlineStr">
        <is>
          <t>1/1 
97153</t>
        </is>
      </c>
      <c r="J119">
        <f>IF(L119="Level 1", VLOOKUP(I119, UserCodes!E:F, 2, FALSE) * H119, IF(L119="Level 2", VLOOKUP(I119, UserCodes!E:F, 2, FALSE) * H119 * 0.8, 0))</f>
        <v/>
      </c>
      <c r="K119" t="inlineStr">
        <is>
          <t>Barqab, Mushtaq</t>
        </is>
      </c>
      <c r="L119">
        <f>VLOOKUP(K119, UserCodes!A:B, 2, FALSE)</f>
        <v/>
      </c>
    </row>
    <row r="120">
      <c r="A120" t="inlineStr">
        <is>
          <t>Abdi, Samira</t>
        </is>
      </c>
      <c r="B120" s="3" t="n">
        <v>46006</v>
      </c>
      <c r="C120" t="inlineStr">
        <is>
          <t>04:00 PM - 07:00 PM</t>
        </is>
      </c>
      <c r="D120" t="inlineStr">
        <is>
          <t>03:00</t>
        </is>
      </c>
      <c r="E120">
        <f>HOUR(D120)+MINUTE(D120)/100</f>
        <v/>
      </c>
      <c r="F120">
        <f>ROUND(INT(E120) + (E120 - INT(E120)) * 100 / 60, 2)</f>
        <v/>
      </c>
      <c r="G120">
        <f>E120*4</f>
        <v/>
      </c>
      <c r="H120">
        <f>LET(total, INT(E120)*60 + (E120-INT(E120))*100, blocks, QUOTIENT(total, 15), extra, MOD(total, 15), units, blocks + IF(extra&gt;=8, 1, 0), units)</f>
        <v/>
      </c>
      <c r="I120" t="inlineStr">
        <is>
          <t>O&amp;D 
97155</t>
        </is>
      </c>
      <c r="J120">
        <f>IF(L120="Level 1", VLOOKUP(I120, UserCodes!E:F, 2, FALSE) * H120, IF(L120="Level 2", VLOOKUP(I120, UserCodes!E:F, 2, FALSE) * H120 * 0.8, 0))</f>
        <v/>
      </c>
      <c r="K120" t="inlineStr">
        <is>
          <t>Muse, Ayni</t>
        </is>
      </c>
      <c r="L120">
        <f>VLOOKUP(K120, UserCodes!A:B, 2, FALSE)</f>
        <v/>
      </c>
    </row>
    <row r="121">
      <c r="A121" t="inlineStr">
        <is>
          <t>Yusuf 2, Khadra</t>
        </is>
      </c>
      <c r="B121" s="3" t="n">
        <v>46006</v>
      </c>
      <c r="C121" t="inlineStr">
        <is>
          <t>01:00 PM - 06:15 PM</t>
        </is>
      </c>
      <c r="D121" t="inlineStr">
        <is>
          <t>05:15</t>
        </is>
      </c>
      <c r="E121">
        <f>HOUR(D121)+MINUTE(D121)/100</f>
        <v/>
      </c>
      <c r="F121">
        <f>ROUND(INT(E121) + (E121 - INT(E121)) * 100 / 60, 2)</f>
        <v/>
      </c>
      <c r="G121">
        <f>E121*4</f>
        <v/>
      </c>
      <c r="H121">
        <f>LET(total, INT(E121)*60 + (E121-INT(E121))*100, blocks, QUOTIENT(total, 15), extra, MOD(total, 15), units, blocks + IF(extra&gt;=8, 1, 0), units)</f>
        <v/>
      </c>
      <c r="I121" t="inlineStr">
        <is>
          <t>1/1 
97153</t>
        </is>
      </c>
      <c r="J121">
        <f>IF(L121="Level 1", VLOOKUP(I121, UserCodes!E:F, 2, FALSE) * H121, IF(L121="Level 2", VLOOKUP(I121, UserCodes!E:F, 2, FALSE) * H121 * 0.8, 0))</f>
        <v/>
      </c>
      <c r="K121" t="inlineStr">
        <is>
          <t>Noor, Kamilo</t>
        </is>
      </c>
      <c r="L121">
        <f>VLOOKUP(K121, UserCodes!A:B, 2, FALSE)</f>
        <v/>
      </c>
    </row>
    <row r="122">
      <c r="A122" t="inlineStr">
        <is>
          <t>Yusuf, Khadija</t>
        </is>
      </c>
      <c r="B122" s="3" t="n">
        <v>46006</v>
      </c>
      <c r="C122" t="inlineStr">
        <is>
          <t>01:00 PM - 04:00 PM</t>
        </is>
      </c>
      <c r="D122" t="inlineStr">
        <is>
          <t>03:00</t>
        </is>
      </c>
      <c r="E122">
        <f>HOUR(D122)+MINUTE(D122)/100</f>
        <v/>
      </c>
      <c r="F122">
        <f>ROUND(INT(E122) + (E122 - INT(E122)) * 100 / 60, 2)</f>
        <v/>
      </c>
      <c r="G122">
        <f>E122*4</f>
        <v/>
      </c>
      <c r="H122">
        <f>LET(total, INT(E122)*60 + (E122-INT(E122))*100, blocks, QUOTIENT(total, 15), extra, MOD(total, 15), units, blocks + IF(extra&gt;=8, 1, 0), units)</f>
        <v/>
      </c>
      <c r="I122" t="inlineStr">
        <is>
          <t>O&amp;D 
97155</t>
        </is>
      </c>
      <c r="J122">
        <f>IF(L122="Level 1", VLOOKUP(I122, UserCodes!E:F, 2, FALSE) * H122, IF(L122="Level 2", VLOOKUP(I122, UserCodes!E:F, 2, FALSE) * H122 * 0.8, 0))</f>
        <v/>
      </c>
      <c r="K122" t="inlineStr">
        <is>
          <t>Hawadle, Abdiaziz</t>
        </is>
      </c>
      <c r="L122">
        <f>VLOOKUP(K122, UserCodes!A:B, 2, FALSE)</f>
        <v/>
      </c>
    </row>
    <row r="123">
      <c r="A123" t="inlineStr">
        <is>
          <t>Yusuf 2, Khadra</t>
        </is>
      </c>
      <c r="B123" s="3" t="n">
        <v>46006</v>
      </c>
      <c r="C123" t="inlineStr">
        <is>
          <t>12:55 PM - 03:30 PM</t>
        </is>
      </c>
      <c r="D123" t="inlineStr">
        <is>
          <t>02:35</t>
        </is>
      </c>
      <c r="E123">
        <f>HOUR(D123)+MINUTE(D123)/100</f>
        <v/>
      </c>
      <c r="F123">
        <f>ROUND(INT(E123) + (E123 - INT(E123)) * 100 / 60, 2)</f>
        <v/>
      </c>
      <c r="G123">
        <f>E123*4</f>
        <v/>
      </c>
      <c r="H123">
        <f>LET(total, INT(E123)*60 + (E123-INT(E123))*100, blocks, QUOTIENT(total, 15), extra, MOD(total, 15), units, blocks + IF(extra&gt;=8, 1, 0), units)</f>
        <v/>
      </c>
      <c r="J123">
        <f>IF(L123="Level 1", VLOOKUP(I123, UserCodes!E:F, 2, FALSE) * H123, IF(L123="Level 2", VLOOKUP(I123, UserCodes!E:F, 2, FALSE) * H123 * 0.8, 0))</f>
        <v/>
      </c>
      <c r="K123" t="inlineStr">
        <is>
          <t>Ahmed, Jama</t>
        </is>
      </c>
      <c r="L123">
        <f>VLOOKUP(K123, UserCodes!A:B, 2, FALSE)</f>
        <v/>
      </c>
      <c r="M123" t="inlineStr">
        <is>
          <t>No schedule</t>
        </is>
      </c>
    </row>
    <row r="124">
      <c r="A124" t="inlineStr">
        <is>
          <t>Abdi, Samira</t>
        </is>
      </c>
      <c r="B124" s="3" t="n">
        <v>46006</v>
      </c>
      <c r="C124" t="inlineStr">
        <is>
          <t>04:00 PM - 08:00 PM</t>
        </is>
      </c>
      <c r="D124" t="inlineStr">
        <is>
          <t>04:00</t>
        </is>
      </c>
      <c r="E124">
        <f>HOUR(D124)+MINUTE(D124)/100</f>
        <v/>
      </c>
      <c r="F124">
        <f>ROUND(INT(E124) + (E124 - INT(E124)) * 100 / 60, 2)</f>
        <v/>
      </c>
      <c r="G124">
        <f>E124*4</f>
        <v/>
      </c>
      <c r="H124">
        <f>LET(total, INT(E124)*60 + (E124-INT(E124))*100, blocks, QUOTIENT(total, 15), extra, MOD(total, 15), units, blocks + IF(extra&gt;=8, 1, 0), units)</f>
        <v/>
      </c>
      <c r="I124" t="inlineStr">
        <is>
          <t>1/1 
97153</t>
        </is>
      </c>
      <c r="J124">
        <f>IF(L124="Level 1", VLOOKUP(I124, UserCodes!E:F, 2, FALSE) * H124, IF(L124="Level 2", VLOOKUP(I124, UserCodes!E:F, 2, FALSE) * H124 * 0.8, 0))</f>
        <v/>
      </c>
      <c r="K124" t="inlineStr">
        <is>
          <t>Ran, Sameya</t>
        </is>
      </c>
      <c r="L124">
        <f>VLOOKUP(K124, UserCodes!A:B, 2, FALSE)</f>
        <v/>
      </c>
    </row>
    <row r="125">
      <c r="A125" t="inlineStr">
        <is>
          <t>Abdi, Safia</t>
        </is>
      </c>
      <c r="B125" s="3" t="n">
        <v>46006</v>
      </c>
      <c r="C125" t="inlineStr">
        <is>
          <t>03:15 PM - 08:00 PM</t>
        </is>
      </c>
      <c r="D125" t="inlineStr">
        <is>
          <t>04:45</t>
        </is>
      </c>
      <c r="E125">
        <f>HOUR(D125)+MINUTE(D125)/100</f>
        <v/>
      </c>
      <c r="F125">
        <f>ROUND(INT(E125) + (E125 - INT(E125)) * 100 / 60, 2)</f>
        <v/>
      </c>
      <c r="G125">
        <f>E125*4</f>
        <v/>
      </c>
      <c r="H125">
        <f>LET(total, INT(E125)*60 + (E125-INT(E125))*100, blocks, QUOTIENT(total, 15), extra, MOD(total, 15), units, blocks + IF(extra&gt;=8, 1, 0), units)</f>
        <v/>
      </c>
      <c r="I125" t="inlineStr">
        <is>
          <t>1/1 
97153</t>
        </is>
      </c>
      <c r="J125">
        <f>IF(L125="Level 1", VLOOKUP(I125, UserCodes!E:F, 2, FALSE) * H125, IF(L125="Level 2", VLOOKUP(I125, UserCodes!E:F, 2, FALSE) * H125 * 0.8, 0))</f>
        <v/>
      </c>
      <c r="K125" t="inlineStr">
        <is>
          <t>Muse, Nawaal</t>
        </is>
      </c>
      <c r="L125">
        <f>VLOOKUP(K125, UserCodes!A:B, 2, FALSE)</f>
        <v/>
      </c>
    </row>
    <row r="126">
      <c r="A126" t="inlineStr">
        <is>
          <t>Abdi, Safia</t>
        </is>
      </c>
      <c r="B126" s="3" t="n">
        <v>46006</v>
      </c>
      <c r="C126" t="inlineStr">
        <is>
          <t>04:00 PM - 07:00 PM</t>
        </is>
      </c>
      <c r="D126" t="inlineStr">
        <is>
          <t>03:00</t>
        </is>
      </c>
      <c r="E126">
        <f>HOUR(D126)+MINUTE(D126)/100</f>
        <v/>
      </c>
      <c r="F126">
        <f>ROUND(INT(E126) + (E126 - INT(E126)) * 100 / 60, 2)</f>
        <v/>
      </c>
      <c r="G126">
        <f>E126*4</f>
        <v/>
      </c>
      <c r="H126">
        <f>LET(total, INT(E126)*60 + (E126-INT(E126))*100, blocks, QUOTIENT(total, 15), extra, MOD(total, 15), units, blocks + IF(extra&gt;=8, 1, 0), units)</f>
        <v/>
      </c>
      <c r="I126" t="inlineStr">
        <is>
          <t>O&amp;D 
97155</t>
        </is>
      </c>
      <c r="J126">
        <f>IF(L126="Level 1", VLOOKUP(I126, UserCodes!E:F, 2, FALSE) * H126, IF(L126="Level 2", VLOOKUP(I126, UserCodes!E:F, 2, FALSE) * H126 * 0.8, 0))</f>
        <v/>
      </c>
      <c r="K126" t="inlineStr">
        <is>
          <t>Muse, Adna</t>
        </is>
      </c>
      <c r="L126">
        <f>VLOOKUP(K126, UserCodes!A:B, 2, FALSE)</f>
        <v/>
      </c>
    </row>
    <row r="127">
      <c r="A127" t="inlineStr">
        <is>
          <t>Sulub, Sharmake</t>
        </is>
      </c>
      <c r="B127" s="3" t="n">
        <v>46006</v>
      </c>
      <c r="C127" t="inlineStr">
        <is>
          <t>04:00pm - 07:00pm</t>
        </is>
      </c>
      <c r="E127">
        <f>HOUR(D127)+MINUTE(D127)/100</f>
        <v/>
      </c>
      <c r="F127">
        <f>ROUND(INT(E127) + (E127 - INT(E127)) * 100 / 60, 2)</f>
        <v/>
      </c>
      <c r="G127">
        <f>E127*4</f>
        <v/>
      </c>
      <c r="H127">
        <f>LET(total, INT(E127)*60 + (E127-INT(E127))*100, blocks, QUOTIENT(total, 15), extra, MOD(total, 15), units, blocks + IF(extra&gt;=8, 1, 0), units)</f>
        <v/>
      </c>
      <c r="I127" t="inlineStr">
        <is>
          <t>O&amp;D 
97155</t>
        </is>
      </c>
      <c r="J127">
        <f>IF(L127="Level 1", VLOOKUP(I127, UserCodes!E:F, 2, FALSE) * H127, IF(L127="Level 2", VLOOKUP(I127, UserCodes!E:F, 2, FALSE) * H127 * 0.8, 0))</f>
        <v/>
      </c>
      <c r="K127" t="inlineStr">
        <is>
          <t>Abdulle, Zamzam</t>
        </is>
      </c>
      <c r="L127">
        <f>VLOOKUP(K127, UserCodes!A:B, 2, FALSE)</f>
        <v/>
      </c>
      <c r="M127" t="inlineStr">
        <is>
          <t>No note</t>
        </is>
      </c>
    </row>
    <row r="128">
      <c r="A128" t="inlineStr">
        <is>
          <t>Sulub, Sharmake</t>
        </is>
      </c>
      <c r="B128" s="3" t="n">
        <v>46006</v>
      </c>
      <c r="C128" t="inlineStr">
        <is>
          <t>04:00 PM - 08:00 PM</t>
        </is>
      </c>
      <c r="D128" t="inlineStr">
        <is>
          <t>04:00</t>
        </is>
      </c>
      <c r="E128">
        <f>HOUR(D128)+MINUTE(D128)/100</f>
        <v/>
      </c>
      <c r="F128">
        <f>ROUND(INT(E128) + (E128 - INT(E128)) * 100 / 60, 2)</f>
        <v/>
      </c>
      <c r="G128">
        <f>E128*4</f>
        <v/>
      </c>
      <c r="H128">
        <f>LET(total, INT(E128)*60 + (E128-INT(E128))*100, blocks, QUOTIENT(total, 15), extra, MOD(total, 15), units, blocks + IF(extra&gt;=8, 1, 0), units)</f>
        <v/>
      </c>
      <c r="I128" t="inlineStr">
        <is>
          <t>1/1 
97153</t>
        </is>
      </c>
      <c r="J128">
        <f>IF(L128="Level 1", VLOOKUP(I128, UserCodes!E:F, 2, FALSE) * H128, IF(L128="Level 2", VLOOKUP(I128, UserCodes!E:F, 2, FALSE) * H128 * 0.8, 0))</f>
        <v/>
      </c>
      <c r="K128" t="inlineStr">
        <is>
          <t>Ali, Nasteho</t>
        </is>
      </c>
      <c r="L128">
        <f>VLOOKUP(K128, UserCodes!A:B, 2, FALSE)</f>
        <v/>
      </c>
    </row>
    <row r="129">
      <c r="A129" t="inlineStr">
        <is>
          <t>Yusuf 2, Khadra</t>
        </is>
      </c>
      <c r="B129" s="3" t="n">
        <v>46007</v>
      </c>
      <c r="C129" t="inlineStr">
        <is>
          <t>01:00 PM - 06:00 PM</t>
        </is>
      </c>
      <c r="D129" t="inlineStr">
        <is>
          <t>05:00</t>
        </is>
      </c>
      <c r="E129">
        <f>HOUR(D129)+MINUTE(D129)/100</f>
        <v/>
      </c>
      <c r="F129">
        <f>ROUND(INT(E129) + (E129 - INT(E129)) * 100 / 60, 2)</f>
        <v/>
      </c>
      <c r="G129">
        <f>E129*4</f>
        <v/>
      </c>
      <c r="H129">
        <f>LET(total, INT(E129)*60 + (E129-INT(E129))*100, blocks, QUOTIENT(total, 15), extra, MOD(total, 15), units, blocks + IF(extra&gt;=8, 1, 0), units)</f>
        <v/>
      </c>
      <c r="I129" t="inlineStr">
        <is>
          <t>1/1 
97153</t>
        </is>
      </c>
      <c r="J129">
        <f>IF(L129="Level 1", VLOOKUP(I129, UserCodes!E:F, 2, FALSE) * H129, IF(L129="Level 2", VLOOKUP(I129, UserCodes!E:F, 2, FALSE) * H129 * 0.8, 0))</f>
        <v/>
      </c>
      <c r="K129" t="inlineStr">
        <is>
          <t>Ali, Naima</t>
        </is>
      </c>
      <c r="L129">
        <f>VLOOKUP(K129, UserCodes!A:B, 2, FALSE)</f>
        <v/>
      </c>
    </row>
    <row r="130">
      <c r="A130" t="inlineStr">
        <is>
          <t>Yusuf 2, Khadra</t>
        </is>
      </c>
      <c r="B130" s="3" t="n">
        <v>46007</v>
      </c>
      <c r="C130" t="inlineStr">
        <is>
          <t>10:00 AM - 12:30 PM</t>
        </is>
      </c>
      <c r="D130" t="inlineStr">
        <is>
          <t>02:30</t>
        </is>
      </c>
      <c r="E130">
        <f>HOUR(D130)+MINUTE(D130)/100</f>
        <v/>
      </c>
      <c r="F130">
        <f>ROUND(INT(E130) + (E130 - INT(E130)) * 100 / 60, 2)</f>
        <v/>
      </c>
      <c r="G130">
        <f>E130*4</f>
        <v/>
      </c>
      <c r="H130">
        <f>LET(total, INT(E130)*60 + (E130-INT(E130))*100, blocks, QUOTIENT(total, 15), extra, MOD(total, 15), units, blocks + IF(extra&gt;=8, 1, 0), units)</f>
        <v/>
      </c>
      <c r="J130">
        <f>IF(L130="Level 1", VLOOKUP(I130, UserCodes!E:F, 2, FALSE) * H130, IF(L130="Level 2", VLOOKUP(I130, UserCodes!E:F, 2, FALSE) * H130 * 0.8, 0))</f>
        <v/>
      </c>
      <c r="K130" t="inlineStr">
        <is>
          <t>Ahmed, Jama</t>
        </is>
      </c>
      <c r="L130">
        <f>VLOOKUP(K130, UserCodes!A:B, 2, FALSE)</f>
        <v/>
      </c>
      <c r="M130" t="inlineStr">
        <is>
          <t>No schedule</t>
        </is>
      </c>
    </row>
    <row r="131">
      <c r="A131" t="inlineStr">
        <is>
          <t>Abdi, Salman</t>
        </is>
      </c>
      <c r="B131" s="3" t="n">
        <v>46007</v>
      </c>
      <c r="C131" t="inlineStr">
        <is>
          <t>03:15 PM - 08:15 PM</t>
        </is>
      </c>
      <c r="D131" t="inlineStr">
        <is>
          <t>05:00</t>
        </is>
      </c>
      <c r="E131">
        <f>HOUR(D131)+MINUTE(D131)/100</f>
        <v/>
      </c>
      <c r="F131">
        <f>ROUND(INT(E131) + (E131 - INT(E131)) * 100 / 60, 2)</f>
        <v/>
      </c>
      <c r="G131">
        <f>E131*4</f>
        <v/>
      </c>
      <c r="H131">
        <f>LET(total, INT(E131)*60 + (E131-INT(E131))*100, blocks, QUOTIENT(total, 15), extra, MOD(total, 15), units, blocks + IF(extra&gt;=8, 1, 0), units)</f>
        <v/>
      </c>
      <c r="I131" t="inlineStr">
        <is>
          <t>1/1 
97153</t>
        </is>
      </c>
      <c r="J131">
        <f>IF(L131="Level 1", VLOOKUP(I131, UserCodes!E:F, 2, FALSE) * H131, IF(L131="Level 2", VLOOKUP(I131, UserCodes!E:F, 2, FALSE) * H131 * 0.8, 0))</f>
        <v/>
      </c>
      <c r="K131" t="inlineStr">
        <is>
          <t>Omar, Mohamed</t>
        </is>
      </c>
      <c r="L131">
        <f>VLOOKUP(K131, UserCodes!A:B, 2, FALSE)</f>
        <v/>
      </c>
    </row>
    <row r="132">
      <c r="A132" t="inlineStr">
        <is>
          <t>Abdi, Samira</t>
        </is>
      </c>
      <c r="B132" s="3" t="n">
        <v>46007</v>
      </c>
      <c r="C132" t="inlineStr">
        <is>
          <t>06:20 PM - 08:00 PM</t>
        </is>
      </c>
      <c r="D132" t="inlineStr">
        <is>
          <t>01:40</t>
        </is>
      </c>
      <c r="E132">
        <f>HOUR(D132)+MINUTE(D132)/100</f>
        <v/>
      </c>
      <c r="F132">
        <f>ROUND(INT(E132) + (E132 - INT(E132)) * 100 / 60, 2)</f>
        <v/>
      </c>
      <c r="G132">
        <f>E132*4</f>
        <v/>
      </c>
      <c r="H132">
        <f>LET(total, INT(E132)*60 + (E132-INT(E132))*100, blocks, QUOTIENT(total, 15), extra, MOD(total, 15), units, blocks + IF(extra&gt;=8, 1, 0), units)</f>
        <v/>
      </c>
      <c r="I132" t="inlineStr">
        <is>
          <t>O&amp;D 
97155</t>
        </is>
      </c>
      <c r="J132">
        <f>IF(L132="Level 1", VLOOKUP(I132, UserCodes!E:F, 2, FALSE) * H132, IF(L132="Level 2", VLOOKUP(I132, UserCodes!E:F, 2, FALSE) * H132 * 0.8, 0))</f>
        <v/>
      </c>
      <c r="K132" t="inlineStr">
        <is>
          <t>Muse, Ayni</t>
        </is>
      </c>
      <c r="L132">
        <f>VLOOKUP(K132, UserCodes!A:B, 2, FALSE)</f>
        <v/>
      </c>
    </row>
    <row r="133">
      <c r="A133" t="inlineStr">
        <is>
          <t>Abdi, Mohamed</t>
        </is>
      </c>
      <c r="B133" s="3" t="n">
        <v>46007</v>
      </c>
      <c r="C133" t="inlineStr">
        <is>
          <t>02:15 PM - 08:00 PM</t>
        </is>
      </c>
      <c r="D133" t="inlineStr">
        <is>
          <t>05:45</t>
        </is>
      </c>
      <c r="E133">
        <f>HOUR(D133)+MINUTE(D133)/100</f>
        <v/>
      </c>
      <c r="F133">
        <f>ROUND(INT(E133) + (E133 - INT(E133)) * 100 / 60, 2)</f>
        <v/>
      </c>
      <c r="G133">
        <f>E133*4</f>
        <v/>
      </c>
      <c r="H133">
        <f>LET(total, INT(E133)*60 + (E133-INT(E133))*100, blocks, QUOTIENT(total, 15), extra, MOD(total, 15), units, blocks + IF(extra&gt;=8, 1, 0), units)</f>
        <v/>
      </c>
      <c r="I133" t="inlineStr">
        <is>
          <t>1/1 
97153</t>
        </is>
      </c>
      <c r="J133">
        <f>IF(L133="Level 1", VLOOKUP(I133, UserCodes!E:F, 2, FALSE) * H133, IF(L133="Level 2", VLOOKUP(I133, UserCodes!E:F, 2, FALSE) * H133 * 0.8, 0))</f>
        <v/>
      </c>
      <c r="K133" t="inlineStr">
        <is>
          <t>Ibrahim, Ahmed</t>
        </is>
      </c>
      <c r="L133">
        <f>VLOOKUP(K133, UserCodes!A:B, 2, FALSE)</f>
        <v/>
      </c>
    </row>
    <row r="134">
      <c r="A134" t="inlineStr">
        <is>
          <t>Abdi, Mohamed</t>
        </is>
      </c>
      <c r="B134" s="3" t="n">
        <v>46007</v>
      </c>
      <c r="C134" t="inlineStr">
        <is>
          <t>04:00 PM - 07:00 PM</t>
        </is>
      </c>
      <c r="D134" t="inlineStr">
        <is>
          <t>03:00</t>
        </is>
      </c>
      <c r="E134">
        <f>HOUR(D134)+MINUTE(D134)/100</f>
        <v/>
      </c>
      <c r="F134">
        <f>ROUND(INT(E134) + (E134 - INT(E134)) * 100 / 60, 2)</f>
        <v/>
      </c>
      <c r="G134">
        <f>E134*4</f>
        <v/>
      </c>
      <c r="H134">
        <f>LET(total, INT(E134)*60 + (E134-INT(E134))*100, blocks, QUOTIENT(total, 15), extra, MOD(total, 15), units, blocks + IF(extra&gt;=8, 1, 0), units)</f>
        <v/>
      </c>
      <c r="I134" t="inlineStr">
        <is>
          <t>O&amp;D 
97155</t>
        </is>
      </c>
      <c r="J134">
        <f>IF(L134="Level 1", VLOOKUP(I134, UserCodes!E:F, 2, FALSE) * H134, IF(L134="Level 2", VLOOKUP(I134, UserCodes!E:F, 2, FALSE) * H134 * 0.8, 0))</f>
        <v/>
      </c>
      <c r="K134" t="inlineStr">
        <is>
          <t>Hawadle, Abdiaziz</t>
        </is>
      </c>
      <c r="L134">
        <f>VLOOKUP(K134, UserCodes!A:B, 2, FALSE)</f>
        <v/>
      </c>
    </row>
    <row r="135">
      <c r="A135" t="inlineStr">
        <is>
          <t>Abdi, Samira</t>
        </is>
      </c>
      <c r="B135" s="3" t="n">
        <v>46007</v>
      </c>
      <c r="C135" t="inlineStr">
        <is>
          <t>01:35 PM - 03:55 PM</t>
        </is>
      </c>
      <c r="D135" t="inlineStr">
        <is>
          <t>02:20</t>
        </is>
      </c>
      <c r="E135">
        <f>HOUR(D135)+MINUTE(D135)/100</f>
        <v/>
      </c>
      <c r="F135">
        <f>ROUND(INT(E135) + (E135 - INT(E135)) * 100 / 60, 2)</f>
        <v/>
      </c>
      <c r="G135">
        <f>E135*4</f>
        <v/>
      </c>
      <c r="H135">
        <f>LET(total, INT(E135)*60 + (E135-INT(E135))*100, blocks, QUOTIENT(total, 15), extra, MOD(total, 15), units, blocks + IF(extra&gt;=8, 1, 0), units)</f>
        <v/>
      </c>
      <c r="J135">
        <f>IF(L135="Level 1", VLOOKUP(I135, UserCodes!E:F, 2, FALSE) * H135, IF(L135="Level 2", VLOOKUP(I135, UserCodes!E:F, 2, FALSE) * H135 * 0.8, 0))</f>
        <v/>
      </c>
      <c r="K135" t="inlineStr">
        <is>
          <t>Ahmed, Jama</t>
        </is>
      </c>
      <c r="L135">
        <f>VLOOKUP(K135, UserCodes!A:B, 2, FALSE)</f>
        <v/>
      </c>
      <c r="M135" t="inlineStr">
        <is>
          <t>No schedule</t>
        </is>
      </c>
    </row>
    <row r="136">
      <c r="A136" t="inlineStr">
        <is>
          <t>Abdi, Safia</t>
        </is>
      </c>
      <c r="B136" s="3" t="n">
        <v>46007</v>
      </c>
      <c r="C136" t="inlineStr">
        <is>
          <t>03:00 PM - 04:00 PM</t>
        </is>
      </c>
      <c r="D136" t="inlineStr">
        <is>
          <t>01:00</t>
        </is>
      </c>
      <c r="E136">
        <f>HOUR(D136)+MINUTE(D136)/100</f>
        <v/>
      </c>
      <c r="F136">
        <f>ROUND(INT(E136) + (E136 - INT(E136)) * 100 / 60, 2)</f>
        <v/>
      </c>
      <c r="G136">
        <f>E136*4</f>
        <v/>
      </c>
      <c r="H136">
        <f>LET(total, INT(E136)*60 + (E136-INT(E136))*100, blocks, QUOTIENT(total, 15), extra, MOD(total, 15), units, blocks + IF(extra&gt;=8, 1, 0), units)</f>
        <v/>
      </c>
      <c r="I136" t="inlineStr">
        <is>
          <t>O&amp;D 
97155</t>
        </is>
      </c>
      <c r="J136">
        <f>IF(L136="Level 1", VLOOKUP(I136, UserCodes!E:F, 2, FALSE) * H136, IF(L136="Level 2", VLOOKUP(I136, UserCodes!E:F, 2, FALSE) * H136 * 0.8, 0))</f>
        <v/>
      </c>
      <c r="K136" t="inlineStr">
        <is>
          <t>Noor, Kamilo</t>
        </is>
      </c>
      <c r="L136">
        <f>VLOOKUP(K136, UserCodes!A:B, 2, FALSE)</f>
        <v/>
      </c>
    </row>
    <row r="137">
      <c r="A137" t="inlineStr">
        <is>
          <t>Abdi, Safia</t>
        </is>
      </c>
      <c r="B137" s="3" t="n">
        <v>46007</v>
      </c>
      <c r="C137" t="inlineStr">
        <is>
          <t>04:00 PM - 08:00 PM</t>
        </is>
      </c>
      <c r="D137" t="inlineStr">
        <is>
          <t>04:00</t>
        </is>
      </c>
      <c r="E137">
        <f>HOUR(D137)+MINUTE(D137)/100</f>
        <v/>
      </c>
      <c r="F137">
        <f>ROUND(INT(E137) + (E137 - INT(E137)) * 100 / 60, 2)</f>
        <v/>
      </c>
      <c r="G137">
        <f>E137*4</f>
        <v/>
      </c>
      <c r="H137">
        <f>LET(total, INT(E137)*60 + (E137-INT(E137))*100, blocks, QUOTIENT(total, 15), extra, MOD(total, 15), units, blocks + IF(extra&gt;=8, 1, 0), units)</f>
        <v/>
      </c>
      <c r="I137" t="inlineStr">
        <is>
          <t>1/1 
97153</t>
        </is>
      </c>
      <c r="J137">
        <f>IF(L137="Level 1", VLOOKUP(I137, UserCodes!E:F, 2, FALSE) * H137, IF(L137="Level 2", VLOOKUP(I137, UserCodes!E:F, 2, FALSE) * H137 * 0.8, 0))</f>
        <v/>
      </c>
      <c r="K137" t="inlineStr">
        <is>
          <t>Barqab, Mushtaq</t>
        </is>
      </c>
      <c r="L137">
        <f>VLOOKUP(K137, UserCodes!A:B, 2, FALSE)</f>
        <v/>
      </c>
    </row>
    <row r="138">
      <c r="A138" t="inlineStr">
        <is>
          <t>Kadir, Hamdi</t>
        </is>
      </c>
      <c r="B138" s="3" t="n">
        <v>46007</v>
      </c>
      <c r="C138" t="inlineStr">
        <is>
          <t>03:00 PM - 06:00 PM</t>
        </is>
      </c>
      <c r="D138" t="inlineStr">
        <is>
          <t>03:00</t>
        </is>
      </c>
      <c r="E138">
        <f>HOUR(D138)+MINUTE(D138)/100</f>
        <v/>
      </c>
      <c r="F138">
        <f>ROUND(INT(E138) + (E138 - INT(E138)) * 100 / 60, 2)</f>
        <v/>
      </c>
      <c r="G138">
        <f>E138*4</f>
        <v/>
      </c>
      <c r="H138">
        <f>LET(total, INT(E138)*60 + (E138-INT(E138))*100, blocks, QUOTIENT(total, 15), extra, MOD(total, 15), units, blocks + IF(extra&gt;=8, 1, 0), units)</f>
        <v/>
      </c>
      <c r="I138" t="inlineStr">
        <is>
          <t>O&amp;D 
97155</t>
        </is>
      </c>
      <c r="J138">
        <f>IF(L138="Level 1", VLOOKUP(I138, UserCodes!E:F, 2, FALSE) * H138, IF(L138="Level 2", VLOOKUP(I138, UserCodes!E:F, 2, FALSE) * H138 * 0.8, 0))</f>
        <v/>
      </c>
      <c r="K138" t="inlineStr">
        <is>
          <t>Muse, Adna</t>
        </is>
      </c>
      <c r="L138">
        <f>VLOOKUP(K138, UserCodes!A:B, 2, FALSE)</f>
        <v/>
      </c>
    </row>
    <row r="139">
      <c r="A139" t="inlineStr">
        <is>
          <t>Yusuf 2, Khadra</t>
        </is>
      </c>
      <c r="B139" s="3" t="n">
        <v>46007</v>
      </c>
      <c r="C139" t="inlineStr">
        <is>
          <t>01:00 PM - 03:30 PM</t>
        </is>
      </c>
      <c r="D139" t="inlineStr">
        <is>
          <t>02:30</t>
        </is>
      </c>
      <c r="E139">
        <f>HOUR(D139)+MINUTE(D139)/100</f>
        <v/>
      </c>
      <c r="F139">
        <f>ROUND(INT(E139) + (E139 - INT(E139)) * 100 / 60, 2)</f>
        <v/>
      </c>
      <c r="G139">
        <f>E139*4</f>
        <v/>
      </c>
      <c r="H139">
        <f>LET(total, INT(E139)*60 + (E139-INT(E139))*100, blocks, QUOTIENT(total, 15), extra, MOD(total, 15), units, blocks + IF(extra&gt;=8, 1, 0), units)</f>
        <v/>
      </c>
      <c r="I139" t="inlineStr">
        <is>
          <t>O&amp;D 
97155</t>
        </is>
      </c>
      <c r="J139">
        <f>IF(L139="Level 1", VLOOKUP(I139, UserCodes!E:F, 2, FALSE) * H139, IF(L139="Level 2", VLOOKUP(I139, UserCodes!E:F, 2, FALSE) * H139 * 0.8, 0))</f>
        <v/>
      </c>
      <c r="K139" t="inlineStr">
        <is>
          <t>Muse, Aaliya</t>
        </is>
      </c>
      <c r="L139">
        <f>VLOOKUP(K139, UserCodes!A:B, 2, FALSE)</f>
        <v/>
      </c>
    </row>
    <row r="140">
      <c r="A140" t="inlineStr">
        <is>
          <t>Abdi, Samira</t>
        </is>
      </c>
      <c r="B140" s="3" t="n">
        <v>46007</v>
      </c>
      <c r="C140" t="inlineStr">
        <is>
          <t>04:00 PM - 08:00 PM</t>
        </is>
      </c>
      <c r="D140" t="inlineStr">
        <is>
          <t>04:00</t>
        </is>
      </c>
      <c r="E140">
        <f>HOUR(D140)+MINUTE(D140)/100</f>
        <v/>
      </c>
      <c r="F140">
        <f>ROUND(INT(E140) + (E140 - INT(E140)) * 100 / 60, 2)</f>
        <v/>
      </c>
      <c r="G140">
        <f>E140*4</f>
        <v/>
      </c>
      <c r="H140">
        <f>LET(total, INT(E140)*60 + (E140-INT(E140))*100, blocks, QUOTIENT(total, 15), extra, MOD(total, 15), units, blocks + IF(extra&gt;=8, 1, 0), units)</f>
        <v/>
      </c>
      <c r="I140" t="inlineStr">
        <is>
          <t>1/1 
97153</t>
        </is>
      </c>
      <c r="J140">
        <f>IF(L140="Level 1", VLOOKUP(I140, UserCodes!E:F, 2, FALSE) * H140, IF(L140="Level 2", VLOOKUP(I140, UserCodes!E:F, 2, FALSE) * H140 * 0.8, 0))</f>
        <v/>
      </c>
      <c r="K140" t="inlineStr">
        <is>
          <t>Muse, Nawaal</t>
        </is>
      </c>
      <c r="L140">
        <f>VLOOKUP(K140, UserCodes!A:B, 2, FALSE)</f>
        <v/>
      </c>
    </row>
    <row r="141">
      <c r="A141" t="inlineStr">
        <is>
          <t>Kadir, Hamdi</t>
        </is>
      </c>
      <c r="B141" s="3" t="n">
        <v>46007</v>
      </c>
      <c r="C141" t="inlineStr">
        <is>
          <t>02:00 PM - 08:00 PM</t>
        </is>
      </c>
      <c r="D141" t="inlineStr">
        <is>
          <t>06:00</t>
        </is>
      </c>
      <c r="E141">
        <f>HOUR(D141)+MINUTE(D141)/100</f>
        <v/>
      </c>
      <c r="F141">
        <f>ROUND(INT(E141) + (E141 - INT(E141)) * 100 / 60, 2)</f>
        <v/>
      </c>
      <c r="G141">
        <f>E141*4</f>
        <v/>
      </c>
      <c r="H141">
        <f>LET(total, INT(E141)*60 + (E141-INT(E141))*100, blocks, QUOTIENT(total, 15), extra, MOD(total, 15), units, blocks + IF(extra&gt;=8, 1, 0), units)</f>
        <v/>
      </c>
      <c r="I141" t="inlineStr">
        <is>
          <t>1/1 
97153</t>
        </is>
      </c>
      <c r="J141">
        <f>IF(L141="Level 1", VLOOKUP(I141, UserCodes!E:F, 2, FALSE) * H141, IF(L141="Level 2", VLOOKUP(I141, UserCodes!E:F, 2, FALSE) * H141 * 0.8, 0))</f>
        <v/>
      </c>
      <c r="K141" t="inlineStr">
        <is>
          <t>Ran, Sameya</t>
        </is>
      </c>
      <c r="L141">
        <f>VLOOKUP(K141, UserCodes!A:B, 2, FALSE)</f>
        <v/>
      </c>
    </row>
    <row r="142">
      <c r="A142" t="inlineStr">
        <is>
          <t>Ali, Saami</t>
        </is>
      </c>
      <c r="B142" s="3" t="n">
        <v>46007</v>
      </c>
      <c r="C142" t="inlineStr">
        <is>
          <t>03:30 PM - 08:00 PM</t>
        </is>
      </c>
      <c r="D142" t="inlineStr">
        <is>
          <t>04:30</t>
        </is>
      </c>
      <c r="E142">
        <f>HOUR(D142)+MINUTE(D142)/100</f>
        <v/>
      </c>
      <c r="F142">
        <f>ROUND(INT(E142) + (E142 - INT(E142)) * 100 / 60, 2)</f>
        <v/>
      </c>
      <c r="G142">
        <f>E142*4</f>
        <v/>
      </c>
      <c r="H142">
        <f>LET(total, INT(E142)*60 + (E142-INT(E142))*100, blocks, QUOTIENT(total, 15), extra, MOD(total, 15), units, blocks + IF(extra&gt;=8, 1, 0), units)</f>
        <v/>
      </c>
      <c r="I142" t="inlineStr">
        <is>
          <t>1/1 
97153</t>
        </is>
      </c>
      <c r="J142">
        <f>IF(L142="Level 1", VLOOKUP(I142, UserCodes!E:F, 2, FALSE) * H142, IF(L142="Level 2", VLOOKUP(I142, UserCodes!E:F, 2, FALSE) * H142 * 0.8, 0))</f>
        <v/>
      </c>
      <c r="K142" t="inlineStr">
        <is>
          <t>Muse, Aaliya</t>
        </is>
      </c>
      <c r="L142">
        <f>VLOOKUP(K142, UserCodes!A:B, 2, FALSE)</f>
        <v/>
      </c>
    </row>
    <row r="143">
      <c r="A143" t="inlineStr">
        <is>
          <t>Abdi, Safia</t>
        </is>
      </c>
      <c r="B143" s="3" t="n">
        <v>46007</v>
      </c>
      <c r="C143" t="inlineStr">
        <is>
          <t>04:00 PM - 07:00 PM</t>
        </is>
      </c>
      <c r="D143" t="inlineStr">
        <is>
          <t>03:00</t>
        </is>
      </c>
      <c r="E143">
        <f>HOUR(D143)+MINUTE(D143)/100</f>
        <v/>
      </c>
      <c r="F143">
        <f>ROUND(INT(E143) + (E143 - INT(E143)) * 100 / 60, 2)</f>
        <v/>
      </c>
      <c r="G143">
        <f>E143*4</f>
        <v/>
      </c>
      <c r="H143">
        <f>LET(total, INT(E143)*60 + (E143-INT(E143))*100, blocks, QUOTIENT(total, 15), extra, MOD(total, 15), units, blocks + IF(extra&gt;=8, 1, 0), units)</f>
        <v/>
      </c>
      <c r="I143" t="inlineStr">
        <is>
          <t>O&amp;D 
97155</t>
        </is>
      </c>
      <c r="J143">
        <f>IF(L143="Level 1", VLOOKUP(I143, UserCodes!E:F, 2, FALSE) * H143, IF(L143="Level 2", VLOOKUP(I143, UserCodes!E:F, 2, FALSE) * H143 * 0.8, 0))</f>
        <v/>
      </c>
      <c r="K143" t="inlineStr">
        <is>
          <t>Noor, Kamilo</t>
        </is>
      </c>
      <c r="L143">
        <f>VLOOKUP(K143, UserCodes!A:B, 2, FALSE)</f>
        <v/>
      </c>
    </row>
    <row r="144">
      <c r="A144" t="inlineStr">
        <is>
          <t>Abdulkadir, Nadra</t>
        </is>
      </c>
      <c r="B144" s="3" t="n">
        <v>46007</v>
      </c>
      <c r="C144" t="inlineStr">
        <is>
          <t>04:00 PM - 06:20 PM</t>
        </is>
      </c>
      <c r="D144" t="inlineStr">
        <is>
          <t>02:20</t>
        </is>
      </c>
      <c r="E144">
        <f>HOUR(D144)+MINUTE(D144)/100</f>
        <v/>
      </c>
      <c r="F144">
        <f>ROUND(INT(E144) + (E144 - INT(E144)) * 100 / 60, 2)</f>
        <v/>
      </c>
      <c r="G144">
        <f>E144*4</f>
        <v/>
      </c>
      <c r="H144">
        <f>LET(total, INT(E144)*60 + (E144-INT(E144))*100, blocks, QUOTIENT(total, 15), extra, MOD(total, 15), units, blocks + IF(extra&gt;=8, 1, 0), units)</f>
        <v/>
      </c>
      <c r="I144" t="inlineStr">
        <is>
          <t>1/1 
97153</t>
        </is>
      </c>
      <c r="J144">
        <f>IF(L144="Level 1", VLOOKUP(I144, UserCodes!E:F, 2, FALSE) * H144, IF(L144="Level 2", VLOOKUP(I144, UserCodes!E:F, 2, FALSE) * H144 * 0.8, 0))</f>
        <v/>
      </c>
      <c r="K144" t="inlineStr">
        <is>
          <t>Muse, Ayni</t>
        </is>
      </c>
      <c r="L144">
        <f>VLOOKUP(K144, UserCodes!A:B, 2, FALSE)</f>
        <v/>
      </c>
    </row>
    <row r="145">
      <c r="A145" t="inlineStr">
        <is>
          <t>Abdi, Salman</t>
        </is>
      </c>
      <c r="B145" s="3" t="n">
        <v>46007</v>
      </c>
      <c r="C145" t="inlineStr">
        <is>
          <t>04:00 PM - 06:00 PM</t>
        </is>
      </c>
      <c r="D145" t="inlineStr">
        <is>
          <t>02:00</t>
        </is>
      </c>
      <c r="E145">
        <f>HOUR(D145)+MINUTE(D145)/100</f>
        <v/>
      </c>
      <c r="F145">
        <f>ROUND(INT(E145) + (E145 - INT(E145)) * 100 / 60, 2)</f>
        <v/>
      </c>
      <c r="G145">
        <f>E145*4</f>
        <v/>
      </c>
      <c r="H145">
        <f>LET(total, INT(E145)*60 + (E145-INT(E145))*100, blocks, QUOTIENT(total, 15), extra, MOD(total, 15), units, blocks + IF(extra&gt;=8, 1, 0), units)</f>
        <v/>
      </c>
      <c r="I145" t="inlineStr">
        <is>
          <t>O&amp;D 
97155</t>
        </is>
      </c>
      <c r="J145">
        <f>IF(L145="Level 1", VLOOKUP(I145, UserCodes!E:F, 2, FALSE) * H145, IF(L145="Level 2", VLOOKUP(I145, UserCodes!E:F, 2, FALSE) * H145 * 0.8, 0))</f>
        <v/>
      </c>
      <c r="K145" t="inlineStr">
        <is>
          <t>Mohamed, Madar</t>
        </is>
      </c>
      <c r="L145">
        <f>VLOOKUP(K145, UserCodes!A:B, 2, FALSE)</f>
        <v/>
      </c>
    </row>
    <row r="146">
      <c r="A146" t="inlineStr">
        <is>
          <t>Abdullahi, Abdirahman</t>
        </is>
      </c>
      <c r="B146" s="3" t="n">
        <v>46007</v>
      </c>
      <c r="C146" t="inlineStr">
        <is>
          <t>01:00 PM - 05:00 PM</t>
        </is>
      </c>
      <c r="D146" t="inlineStr">
        <is>
          <t>04:00</t>
        </is>
      </c>
      <c r="E146">
        <f>HOUR(D146)+MINUTE(D146)/100</f>
        <v/>
      </c>
      <c r="F146">
        <f>ROUND(INT(E146) + (E146 - INT(E146)) * 100 / 60, 2)</f>
        <v/>
      </c>
      <c r="G146">
        <f>E146*4</f>
        <v/>
      </c>
      <c r="H146">
        <f>LET(total, INT(E146)*60 + (E146-INT(E146))*100, blocks, QUOTIENT(total, 15), extra, MOD(total, 15), units, blocks + IF(extra&gt;=8, 1, 0), units)</f>
        <v/>
      </c>
      <c r="I146" t="inlineStr">
        <is>
          <t>1/1 
97153</t>
        </is>
      </c>
      <c r="J146">
        <f>IF(L146="Level 1", VLOOKUP(I146, UserCodes!E:F, 2, FALSE) * H146, IF(L146="Level 2", VLOOKUP(I146, UserCodes!E:F, 2, FALSE) * H146 * 0.8, 0))</f>
        <v/>
      </c>
      <c r="K146" t="inlineStr">
        <is>
          <t>Mohamed, Mohamed</t>
        </is>
      </c>
      <c r="L146">
        <f>VLOOKUP(K146, UserCodes!A:B, 2, FALSE)</f>
        <v/>
      </c>
    </row>
    <row r="147">
      <c r="A147" t="inlineStr">
        <is>
          <t>Abdulkadir, Nadra</t>
        </is>
      </c>
      <c r="B147" s="3" t="n">
        <v>46007</v>
      </c>
      <c r="C147" t="inlineStr">
        <is>
          <t>01:30 PM - 04:00 PM</t>
        </is>
      </c>
      <c r="D147" t="inlineStr">
        <is>
          <t>02:30</t>
        </is>
      </c>
      <c r="E147">
        <f>HOUR(D147)+MINUTE(D147)/100</f>
        <v/>
      </c>
      <c r="F147">
        <f>ROUND(INT(E147) + (E147 - INT(E147)) * 100 / 60, 2)</f>
        <v/>
      </c>
      <c r="G147">
        <f>E147*4</f>
        <v/>
      </c>
      <c r="H147">
        <f>LET(total, INT(E147)*60 + (E147-INT(E147))*100, blocks, QUOTIENT(total, 15), extra, MOD(total, 15), units, blocks + IF(extra&gt;=8, 1, 0), units)</f>
        <v/>
      </c>
      <c r="I147" t="inlineStr">
        <is>
          <t>O&amp;D 
97155</t>
        </is>
      </c>
      <c r="J147">
        <f>IF(L147="Level 1", VLOOKUP(I147, UserCodes!E:F, 2, FALSE) * H147, IF(L147="Level 2", VLOOKUP(I147, UserCodes!E:F, 2, FALSE) * H147 * 0.8, 0))</f>
        <v/>
      </c>
      <c r="K147" t="inlineStr">
        <is>
          <t>Mohamed, Madar</t>
        </is>
      </c>
      <c r="L147">
        <f>VLOOKUP(K147, UserCodes!A:B, 2, FALSE)</f>
        <v/>
      </c>
    </row>
    <row r="148">
      <c r="A148" t="inlineStr">
        <is>
          <t>Abdullahi, Abdirahman</t>
        </is>
      </c>
      <c r="B148" s="3" t="n">
        <v>46007</v>
      </c>
      <c r="C148" t="inlineStr">
        <is>
          <t>01:00 PM - 04:00 PM</t>
        </is>
      </c>
      <c r="D148" t="inlineStr">
        <is>
          <t>03:00</t>
        </is>
      </c>
      <c r="E148">
        <f>HOUR(D148)+MINUTE(D148)/100</f>
        <v/>
      </c>
      <c r="F148">
        <f>ROUND(INT(E148) + (E148 - INT(E148)) * 100 / 60, 2)</f>
        <v/>
      </c>
      <c r="G148">
        <f>E148*4</f>
        <v/>
      </c>
      <c r="H148">
        <f>LET(total, INT(E148)*60 + (E148-INT(E148))*100, blocks, QUOTIENT(total, 15), extra, MOD(total, 15), units, blocks + IF(extra&gt;=8, 1, 0), units)</f>
        <v/>
      </c>
      <c r="I148" t="inlineStr">
        <is>
          <t>O&amp;D 
97155</t>
        </is>
      </c>
      <c r="J148">
        <f>IF(L148="Level 1", VLOOKUP(I148, UserCodes!E:F, 2, FALSE) * H148, IF(L148="Level 2", VLOOKUP(I148, UserCodes!E:F, 2, FALSE) * H148 * 0.8, 0))</f>
        <v/>
      </c>
      <c r="K148" t="inlineStr">
        <is>
          <t>Hawadle, Abdiaziz</t>
        </is>
      </c>
      <c r="L148">
        <f>VLOOKUP(K148, UserCodes!A:B, 2, FALSE)</f>
        <v/>
      </c>
    </row>
    <row r="149">
      <c r="A149" t="inlineStr">
        <is>
          <t>Abdi, Salman</t>
        </is>
      </c>
      <c r="B149" s="3" t="n">
        <v>46007</v>
      </c>
      <c r="C149" t="inlineStr">
        <is>
          <t>07:00 PM - 08:00 PM</t>
        </is>
      </c>
      <c r="D149" t="inlineStr">
        <is>
          <t>01:00</t>
        </is>
      </c>
      <c r="E149">
        <f>HOUR(D149)+MINUTE(D149)/100</f>
        <v/>
      </c>
      <c r="F149">
        <f>ROUND(INT(E149) + (E149 - INT(E149)) * 100 / 60, 2)</f>
        <v/>
      </c>
      <c r="G149">
        <f>E149*4</f>
        <v/>
      </c>
      <c r="H149">
        <f>LET(total, INT(E149)*60 + (E149-INT(E149))*100, blocks, QUOTIENT(total, 15), extra, MOD(total, 15), units, blocks + IF(extra&gt;=8, 1, 0), units)</f>
        <v/>
      </c>
      <c r="I149" t="inlineStr">
        <is>
          <t>O&amp;D 
97155</t>
        </is>
      </c>
      <c r="J149">
        <f>IF(L149="Level 1", VLOOKUP(I149, UserCodes!E:F, 2, FALSE) * H149, IF(L149="Level 2", VLOOKUP(I149, UserCodes!E:F, 2, FALSE) * H149 * 0.8, 0))</f>
        <v/>
      </c>
      <c r="K149" t="inlineStr">
        <is>
          <t>Noor, Kamilo</t>
        </is>
      </c>
      <c r="L149">
        <f>VLOOKUP(K149, UserCodes!A:B, 2, FALSE)</f>
        <v/>
      </c>
    </row>
    <row r="150">
      <c r="A150" t="inlineStr">
        <is>
          <t>Yusuf, Khadija</t>
        </is>
      </c>
      <c r="B150" s="3" t="n">
        <v>46007</v>
      </c>
      <c r="C150" t="inlineStr">
        <is>
          <t>01:00 PM - 06:00 PM</t>
        </is>
      </c>
      <c r="D150" t="inlineStr">
        <is>
          <t>05:00</t>
        </is>
      </c>
      <c r="E150">
        <f>HOUR(D150)+MINUTE(D150)/100</f>
        <v/>
      </c>
      <c r="F150">
        <f>ROUND(INT(E150) + (E150 - INT(E150)) * 100 / 60, 2)</f>
        <v/>
      </c>
      <c r="G150">
        <f>E150*4</f>
        <v/>
      </c>
      <c r="H150">
        <f>LET(total, INT(E150)*60 + (E150-INT(E150))*100, blocks, QUOTIENT(total, 15), extra, MOD(total, 15), units, blocks + IF(extra&gt;=8, 1, 0), units)</f>
        <v/>
      </c>
      <c r="I150" t="inlineStr">
        <is>
          <t>1/1 
97153</t>
        </is>
      </c>
      <c r="J150">
        <f>IF(L150="Level 1", VLOOKUP(I150, UserCodes!E:F, 2, FALSE) * H150, IF(L150="Level 2", VLOOKUP(I150, UserCodes!E:F, 2, FALSE) * H150 * 0.8, 0))</f>
        <v/>
      </c>
      <c r="K150" t="inlineStr">
        <is>
          <t>Hashi, Ridwan</t>
        </is>
      </c>
      <c r="L150">
        <f>VLOOKUP(K150, UserCodes!A:B, 2, FALSE)</f>
        <v/>
      </c>
    </row>
    <row r="151">
      <c r="A151" t="inlineStr">
        <is>
          <t>Mohamed, Sumaya</t>
        </is>
      </c>
      <c r="B151" s="3" t="n">
        <v>46007</v>
      </c>
      <c r="C151" t="inlineStr">
        <is>
          <t>12:00 PM - 07:00 PM</t>
        </is>
      </c>
      <c r="D151" t="inlineStr">
        <is>
          <t>07:00</t>
        </is>
      </c>
      <c r="E151">
        <f>HOUR(D151)+MINUTE(D151)/100</f>
        <v/>
      </c>
      <c r="F151">
        <f>ROUND(INT(E151) + (E151 - INT(E151)) * 100 / 60, 2)</f>
        <v/>
      </c>
      <c r="G151">
        <f>E151*4</f>
        <v/>
      </c>
      <c r="H151">
        <f>LET(total, INT(E151)*60 + (E151-INT(E151))*100, blocks, QUOTIENT(total, 15), extra, MOD(total, 15), units, blocks + IF(extra&gt;=8, 1, 0), units)</f>
        <v/>
      </c>
      <c r="I151" t="inlineStr">
        <is>
          <t>1/1 
97153</t>
        </is>
      </c>
      <c r="J151">
        <f>IF(L151="Level 1", VLOOKUP(I151, UserCodes!E:F, 2, FALSE) * H151, IF(L151="Level 2", VLOOKUP(I151, UserCodes!E:F, 2, FALSE) * H151 * 0.8, 0))</f>
        <v/>
      </c>
      <c r="K151" t="inlineStr">
        <is>
          <t>ALI, AMIRA</t>
        </is>
      </c>
      <c r="L151">
        <f>VLOOKUP(K151, UserCodes!A:B, 2, FALSE)</f>
        <v/>
      </c>
    </row>
    <row r="152">
      <c r="A152" t="inlineStr">
        <is>
          <t>Sulub, Sharmake</t>
        </is>
      </c>
      <c r="B152" s="3" t="n">
        <v>46007</v>
      </c>
      <c r="C152" t="inlineStr">
        <is>
          <t>04:00 PM - 08:00 PM</t>
        </is>
      </c>
      <c r="D152" t="inlineStr">
        <is>
          <t>04:00</t>
        </is>
      </c>
      <c r="E152">
        <f>HOUR(D152)+MINUTE(D152)/100</f>
        <v/>
      </c>
      <c r="F152">
        <f>ROUND(INT(E152) + (E152 - INT(E152)) * 100 / 60, 2)</f>
        <v/>
      </c>
      <c r="G152">
        <f>E152*4</f>
        <v/>
      </c>
      <c r="H152">
        <f>LET(total, INT(E152)*60 + (E152-INT(E152))*100, blocks, QUOTIENT(total, 15), extra, MOD(total, 15), units, blocks + IF(extra&gt;=8, 1, 0), units)</f>
        <v/>
      </c>
      <c r="I152" t="inlineStr">
        <is>
          <t>1/1 
97153</t>
        </is>
      </c>
      <c r="J152">
        <f>IF(L152="Level 1", VLOOKUP(I152, UserCodes!E:F, 2, FALSE) * H152, IF(L152="Level 2", VLOOKUP(I152, UserCodes!E:F, 2, FALSE) * H152 * 0.8, 0))</f>
        <v/>
      </c>
      <c r="K152" t="inlineStr">
        <is>
          <t>Ali, Nasteho</t>
        </is>
      </c>
      <c r="L152">
        <f>VLOOKUP(K152, UserCodes!A:B, 2, FALSE)</f>
        <v/>
      </c>
    </row>
    <row r="153">
      <c r="A153" t="inlineStr">
        <is>
          <t>Yusuf, Khadija</t>
        </is>
      </c>
      <c r="B153" s="3" t="n">
        <v>46007</v>
      </c>
      <c r="C153" t="inlineStr">
        <is>
          <t>01:00 PM - 04:00 PM</t>
        </is>
      </c>
      <c r="D153" t="inlineStr">
        <is>
          <t>03:00</t>
        </is>
      </c>
      <c r="E153">
        <f>HOUR(D153)+MINUTE(D153)/100</f>
        <v/>
      </c>
      <c r="F153">
        <f>ROUND(INT(E153) + (E153 - INT(E153)) * 100 / 60, 2)</f>
        <v/>
      </c>
      <c r="G153">
        <f>E153*4</f>
        <v/>
      </c>
      <c r="H153">
        <f>LET(total, INT(E153)*60 + (E153-INT(E153))*100, blocks, QUOTIENT(total, 15), extra, MOD(total, 15), units, blocks + IF(extra&gt;=8, 1, 0), units)</f>
        <v/>
      </c>
      <c r="I153" t="inlineStr">
        <is>
          <t>O&amp;D 
97155</t>
        </is>
      </c>
      <c r="J153">
        <f>IF(L153="Level 1", VLOOKUP(I153, UserCodes!E:F, 2, FALSE) * H153, IF(L153="Level 2", VLOOKUP(I153, UserCodes!E:F, 2, FALSE) * H153 * 0.8, 0))</f>
        <v/>
      </c>
      <c r="K153" t="inlineStr">
        <is>
          <t>Noor, Kamilo</t>
        </is>
      </c>
      <c r="L153">
        <f>VLOOKUP(K153, UserCodes!A:B, 2, FALSE)</f>
        <v/>
      </c>
    </row>
    <row r="154">
      <c r="A154" t="inlineStr">
        <is>
          <t>Abdi, Ahmed</t>
        </is>
      </c>
      <c r="B154" s="3" t="n">
        <v>46007</v>
      </c>
      <c r="C154" t="inlineStr">
        <is>
          <t>06:00 PM - 08:00 PM</t>
        </is>
      </c>
      <c r="D154" t="inlineStr">
        <is>
          <t>02:00</t>
        </is>
      </c>
      <c r="E154">
        <f>HOUR(D154)+MINUTE(D154)/100</f>
        <v/>
      </c>
      <c r="F154">
        <f>ROUND(INT(E154) + (E154 - INT(E154)) * 100 / 60, 2)</f>
        <v/>
      </c>
      <c r="G154">
        <f>E154*4</f>
        <v/>
      </c>
      <c r="H154">
        <f>LET(total, INT(E154)*60 + (E154-INT(E154))*100, blocks, QUOTIENT(total, 15), extra, MOD(total, 15), units, blocks + IF(extra&gt;=8, 1, 0), units)</f>
        <v/>
      </c>
      <c r="I154" t="inlineStr">
        <is>
          <t>O&amp;D 
97155</t>
        </is>
      </c>
      <c r="J154">
        <f>IF(L154="Level 1", VLOOKUP(I154, UserCodes!E:F, 2, FALSE) * H154, IF(L154="Level 2", VLOOKUP(I154, UserCodes!E:F, 2, FALSE) * H154 * 0.8, 0))</f>
        <v/>
      </c>
      <c r="K154" t="inlineStr">
        <is>
          <t>Muse, Adna</t>
        </is>
      </c>
      <c r="L154">
        <f>VLOOKUP(K154, UserCodes!A:B, 2, FALSE)</f>
        <v/>
      </c>
    </row>
    <row r="155">
      <c r="A155" t="inlineStr">
        <is>
          <t>Abdi, Ahmed</t>
        </is>
      </c>
      <c r="B155" s="3" t="n">
        <v>46007</v>
      </c>
      <c r="C155" t="inlineStr">
        <is>
          <t>02:15 PM - 08:00 PM</t>
        </is>
      </c>
      <c r="D155" t="inlineStr">
        <is>
          <t>05:45</t>
        </is>
      </c>
      <c r="E155">
        <f>HOUR(D155)+MINUTE(D155)/100</f>
        <v/>
      </c>
      <c r="F155">
        <f>ROUND(INT(E155) + (E155 - INT(E155)) * 100 / 60, 2)</f>
        <v/>
      </c>
      <c r="G155">
        <f>E155*4</f>
        <v/>
      </c>
      <c r="H155">
        <f>LET(total, INT(E155)*60 + (E155-INT(E155))*100, blocks, QUOTIENT(total, 15), extra, MOD(total, 15), units, blocks + IF(extra&gt;=8, 1, 0), units)</f>
        <v/>
      </c>
      <c r="I155" t="inlineStr">
        <is>
          <t>1/1 
97153</t>
        </is>
      </c>
      <c r="J155">
        <f>IF(L155="Level 1", VLOOKUP(I155, UserCodes!E:F, 2, FALSE) * H155, IF(L155="Level 2", VLOOKUP(I155, UserCodes!E:F, 2, FALSE) * H155 * 0.8, 0))</f>
        <v/>
      </c>
      <c r="K155" t="inlineStr">
        <is>
          <t>Mohamed, Samsam</t>
        </is>
      </c>
      <c r="L155">
        <f>VLOOKUP(K155, UserCodes!A:B, 2, FALSE)</f>
        <v/>
      </c>
    </row>
    <row r="156">
      <c r="A156" t="inlineStr">
        <is>
          <t>Sulub, Sharmake</t>
        </is>
      </c>
      <c r="B156" s="3" t="n">
        <v>46007</v>
      </c>
      <c r="C156" t="inlineStr">
        <is>
          <t>04:00pm - 07:00pm</t>
        </is>
      </c>
      <c r="E156">
        <f>HOUR(D156)+MINUTE(D156)/100</f>
        <v/>
      </c>
      <c r="F156">
        <f>ROUND(INT(E156) + (E156 - INT(E156)) * 100 / 60, 2)</f>
        <v/>
      </c>
      <c r="G156">
        <f>E156*4</f>
        <v/>
      </c>
      <c r="H156">
        <f>LET(total, INT(E156)*60 + (E156-INT(E156))*100, blocks, QUOTIENT(total, 15), extra, MOD(total, 15), units, blocks + IF(extra&gt;=8, 1, 0), units)</f>
        <v/>
      </c>
      <c r="I156" t="inlineStr">
        <is>
          <t>O&amp;D 
97155</t>
        </is>
      </c>
      <c r="J156">
        <f>IF(L156="Level 1", VLOOKUP(I156, UserCodes!E:F, 2, FALSE) * H156, IF(L156="Level 2", VLOOKUP(I156, UserCodes!E:F, 2, FALSE) * H156 * 0.8, 0))</f>
        <v/>
      </c>
      <c r="K156" t="inlineStr">
        <is>
          <t>Abdulle, Zamzam</t>
        </is>
      </c>
      <c r="L156">
        <f>VLOOKUP(K156, UserCodes!A:B, 2, FALSE)</f>
        <v/>
      </c>
      <c r="M156" t="inlineStr">
        <is>
          <t>No note</t>
        </is>
      </c>
    </row>
    <row r="157">
      <c r="A157" t="inlineStr">
        <is>
          <t>Mohamed, Sumaya</t>
        </is>
      </c>
      <c r="B157" s="3" t="n">
        <v>46007</v>
      </c>
      <c r="C157" t="inlineStr">
        <is>
          <t>12:00 PM - 03:00 PM</t>
        </is>
      </c>
      <c r="D157" t="inlineStr">
        <is>
          <t>03:00</t>
        </is>
      </c>
      <c r="E157">
        <f>HOUR(D157)+MINUTE(D157)/100</f>
        <v/>
      </c>
      <c r="F157">
        <f>ROUND(INT(E157) + (E157 - INT(E157)) * 100 / 60, 2)</f>
        <v/>
      </c>
      <c r="G157">
        <f>E157*4</f>
        <v/>
      </c>
      <c r="H157">
        <f>LET(total, INT(E157)*60 + (E157-INT(E157))*100, blocks, QUOTIENT(total, 15), extra, MOD(total, 15), units, blocks + IF(extra&gt;=8, 1, 0), units)</f>
        <v/>
      </c>
      <c r="I157" t="inlineStr">
        <is>
          <t>O&amp;D 
97155</t>
        </is>
      </c>
      <c r="J157">
        <f>IF(L157="Level 1", VLOOKUP(I157, UserCodes!E:F, 2, FALSE) * H157, IF(L157="Level 2", VLOOKUP(I157, UserCodes!E:F, 2, FALSE) * H157 * 0.8, 0))</f>
        <v/>
      </c>
      <c r="K157" t="inlineStr">
        <is>
          <t>Muse, Adna</t>
        </is>
      </c>
      <c r="L157">
        <f>VLOOKUP(K157, UserCodes!A:B, 2, FALSE)</f>
        <v/>
      </c>
    </row>
    <row r="158">
      <c r="A158" t="inlineStr">
        <is>
          <t>Abdulkadir, Nadra</t>
        </is>
      </c>
      <c r="B158" s="3" t="n">
        <v>46007</v>
      </c>
      <c r="C158" t="inlineStr">
        <is>
          <t>01:30 PM - 04:00 PM</t>
        </is>
      </c>
      <c r="D158" t="inlineStr">
        <is>
          <t>02:30</t>
        </is>
      </c>
      <c r="E158">
        <f>HOUR(D158)+MINUTE(D158)/100</f>
        <v/>
      </c>
      <c r="F158">
        <f>ROUND(INT(E158) + (E158 - INT(E158)) * 100 / 60, 2)</f>
        <v/>
      </c>
      <c r="G158">
        <f>E158*4</f>
        <v/>
      </c>
      <c r="H158">
        <f>LET(total, INT(E158)*60 + (E158-INT(E158))*100, blocks, QUOTIENT(total, 15), extra, MOD(total, 15), units, blocks + IF(extra&gt;=8, 1, 0), units)</f>
        <v/>
      </c>
      <c r="I158" t="inlineStr">
        <is>
          <t>1/1 
97153</t>
        </is>
      </c>
      <c r="J158">
        <f>IF(L158="Level 1", VLOOKUP(I158, UserCodes!E:F, 2, FALSE) * H158, IF(L158="Level 2", VLOOKUP(I158, UserCodes!E:F, 2, FALSE) * H158 * 0.8, 0))</f>
        <v/>
      </c>
      <c r="K158" t="inlineStr">
        <is>
          <t>Ali, Nasteho</t>
        </is>
      </c>
      <c r="L158">
        <f>VLOOKUP(K158, UserCodes!A:B, 2, FALSE)</f>
        <v/>
      </c>
    </row>
    <row r="159">
      <c r="A159" t="inlineStr">
        <is>
          <t>Kadir, Hamdi</t>
        </is>
      </c>
      <c r="B159" s="3" t="n">
        <v>46008</v>
      </c>
      <c r="C159" t="inlineStr">
        <is>
          <t>05:00 PM - 08:00 PM</t>
        </is>
      </c>
      <c r="D159" t="inlineStr">
        <is>
          <t>03:00</t>
        </is>
      </c>
      <c r="E159">
        <f>HOUR(D159)+MINUTE(D159)/100</f>
        <v/>
      </c>
      <c r="F159">
        <f>ROUND(INT(E159) + (E159 - INT(E159)) * 100 / 60, 2)</f>
        <v/>
      </c>
      <c r="G159">
        <f>E159*4</f>
        <v/>
      </c>
      <c r="H159">
        <f>LET(total, INT(E159)*60 + (E159-INT(E159))*100, blocks, QUOTIENT(total, 15), extra, MOD(total, 15), units, blocks + IF(extra&gt;=8, 1, 0), units)</f>
        <v/>
      </c>
      <c r="I159" t="inlineStr">
        <is>
          <t>1/1 
97153</t>
        </is>
      </c>
      <c r="J159">
        <f>IF(L159="Level 1", VLOOKUP(I159, UserCodes!E:F, 2, FALSE) * H159, IF(L159="Level 2", VLOOKUP(I159, UserCodes!E:F, 2, FALSE) * H159 * 0.8, 0))</f>
        <v/>
      </c>
      <c r="K159" t="inlineStr">
        <is>
          <t>Muse, Nawaal</t>
        </is>
      </c>
      <c r="L159">
        <f>VLOOKUP(K159, UserCodes!A:B, 2, FALSE)</f>
        <v/>
      </c>
    </row>
    <row r="160">
      <c r="A160" t="inlineStr">
        <is>
          <t>Abdi, Salman</t>
        </is>
      </c>
      <c r="B160" s="3" t="n">
        <v>46008</v>
      </c>
      <c r="C160" t="inlineStr">
        <is>
          <t>05:00 PM - 08:00 PM</t>
        </is>
      </c>
      <c r="D160" t="inlineStr">
        <is>
          <t>03:00</t>
        </is>
      </c>
      <c r="E160">
        <f>HOUR(D160)+MINUTE(D160)/100</f>
        <v/>
      </c>
      <c r="F160">
        <f>ROUND(INT(E160) + (E160 - INT(E160)) * 100 / 60, 2)</f>
        <v/>
      </c>
      <c r="G160">
        <f>E160*4</f>
        <v/>
      </c>
      <c r="H160">
        <f>LET(total, INT(E160)*60 + (E160-INT(E160))*100, blocks, QUOTIENT(total, 15), extra, MOD(total, 15), units, blocks + IF(extra&gt;=8, 1, 0), units)</f>
        <v/>
      </c>
      <c r="I160" t="inlineStr">
        <is>
          <t>O&amp;D 
97155</t>
        </is>
      </c>
      <c r="J160">
        <f>IF(L160="Level 1", VLOOKUP(I160, UserCodes!E:F, 2, FALSE) * H160, IF(L160="Level 2", VLOOKUP(I160, UserCodes!E:F, 2, FALSE) * H160 * 0.8, 0))</f>
        <v/>
      </c>
      <c r="K160" t="inlineStr">
        <is>
          <t>Osman, Basra</t>
        </is>
      </c>
      <c r="L160">
        <f>VLOOKUP(K160, UserCodes!A:B, 2, FALSE)</f>
        <v/>
      </c>
    </row>
    <row r="161">
      <c r="A161" t="inlineStr">
        <is>
          <t>Kadir, Hamdi</t>
        </is>
      </c>
      <c r="B161" s="3" t="n">
        <v>46008</v>
      </c>
      <c r="C161" t="inlineStr">
        <is>
          <t>02:00 PM - 05:00 PM</t>
        </is>
      </c>
      <c r="D161" t="inlineStr">
        <is>
          <t>03:00</t>
        </is>
      </c>
      <c r="E161">
        <f>HOUR(D161)+MINUTE(D161)/100</f>
        <v/>
      </c>
      <c r="F161">
        <f>ROUND(INT(E161) + (E161 - INT(E161)) * 100 / 60, 2)</f>
        <v/>
      </c>
      <c r="G161">
        <f>E161*4</f>
        <v/>
      </c>
      <c r="H161">
        <f>LET(total, INT(E161)*60 + (E161-INT(E161))*100, blocks, QUOTIENT(total, 15), extra, MOD(total, 15), units, blocks + IF(extra&gt;=8, 1, 0), units)</f>
        <v/>
      </c>
      <c r="I161" t="inlineStr">
        <is>
          <t>O&amp;D 
97155</t>
        </is>
      </c>
      <c r="J161">
        <f>IF(L161="Level 1", VLOOKUP(I161, UserCodes!E:F, 2, FALSE) * H161, IF(L161="Level 2", VLOOKUP(I161, UserCodes!E:F, 2, FALSE) * H161 * 0.8, 0))</f>
        <v/>
      </c>
      <c r="K161" t="inlineStr">
        <is>
          <t>Osman, Basra</t>
        </is>
      </c>
      <c r="L161">
        <f>VLOOKUP(K161, UserCodes!A:B, 2, FALSE)</f>
        <v/>
      </c>
    </row>
    <row r="162">
      <c r="A162" t="inlineStr">
        <is>
          <t>Abdi, Salman</t>
        </is>
      </c>
      <c r="B162" s="3" t="n">
        <v>46008</v>
      </c>
      <c r="C162" t="inlineStr">
        <is>
          <t>03:15 PM - 08:00 PM</t>
        </is>
      </c>
      <c r="D162" t="inlineStr">
        <is>
          <t>04:45</t>
        </is>
      </c>
      <c r="E162">
        <f>HOUR(D162)+MINUTE(D162)/100</f>
        <v/>
      </c>
      <c r="F162">
        <f>ROUND(INT(E162) + (E162 - INT(E162)) * 100 / 60, 2)</f>
        <v/>
      </c>
      <c r="G162">
        <f>E162*4</f>
        <v/>
      </c>
      <c r="H162">
        <f>LET(total, INT(E162)*60 + (E162-INT(E162))*100, blocks, QUOTIENT(total, 15), extra, MOD(total, 15), units, blocks + IF(extra&gt;=8, 1, 0), units)</f>
        <v/>
      </c>
      <c r="I162" t="inlineStr">
        <is>
          <t>1/1 
97153</t>
        </is>
      </c>
      <c r="J162">
        <f>IF(L162="Level 1", VLOOKUP(I162, UserCodes!E:F, 2, FALSE) * H162, IF(L162="Level 2", VLOOKUP(I162, UserCodes!E:F, 2, FALSE) * H162 * 0.8, 0))</f>
        <v/>
      </c>
      <c r="K162" t="inlineStr">
        <is>
          <t>Mohamed, Mohamed</t>
        </is>
      </c>
      <c r="L162">
        <f>VLOOKUP(K162, UserCodes!A:B, 2, FALSE)</f>
        <v/>
      </c>
    </row>
    <row r="163">
      <c r="A163" t="inlineStr">
        <is>
          <t>Kadir, Hamdi</t>
        </is>
      </c>
      <c r="B163" s="3" t="n">
        <v>46008</v>
      </c>
      <c r="C163" t="inlineStr">
        <is>
          <t>02:00 PM - 05:00 PM</t>
        </is>
      </c>
      <c r="D163" t="inlineStr">
        <is>
          <t>03:00</t>
        </is>
      </c>
      <c r="E163">
        <f>HOUR(D163)+MINUTE(D163)/100</f>
        <v/>
      </c>
      <c r="F163">
        <f>ROUND(INT(E163) + (E163 - INT(E163)) * 100 / 60, 2)</f>
        <v/>
      </c>
      <c r="G163">
        <f>E163*4</f>
        <v/>
      </c>
      <c r="H163">
        <f>LET(total, INT(E163)*60 + (E163-INT(E163))*100, blocks, QUOTIENT(total, 15), extra, MOD(total, 15), units, blocks + IF(extra&gt;=8, 1, 0), units)</f>
        <v/>
      </c>
      <c r="I163" t="inlineStr">
        <is>
          <t>1/1 
97153</t>
        </is>
      </c>
      <c r="J163">
        <f>IF(L163="Level 1", VLOOKUP(I163, UserCodes!E:F, 2, FALSE) * H163, IF(L163="Level 2", VLOOKUP(I163, UserCodes!E:F, 2, FALSE) * H163 * 0.8, 0))</f>
        <v/>
      </c>
      <c r="K163" t="inlineStr">
        <is>
          <t>Muse, Ayni</t>
        </is>
      </c>
      <c r="L163">
        <f>VLOOKUP(K163, UserCodes!A:B, 2, FALSE)</f>
        <v/>
      </c>
    </row>
    <row r="164">
      <c r="A164" t="inlineStr">
        <is>
          <t>Sulub, Sharmake</t>
        </is>
      </c>
      <c r="B164" s="3" t="n">
        <v>46008</v>
      </c>
      <c r="C164" t="inlineStr">
        <is>
          <t>04:00pm - 07:00pm</t>
        </is>
      </c>
      <c r="E164">
        <f>HOUR(D164)+MINUTE(D164)/100</f>
        <v/>
      </c>
      <c r="F164">
        <f>ROUND(INT(E164) + (E164 - INT(E164)) * 100 / 60, 2)</f>
        <v/>
      </c>
      <c r="G164">
        <f>E164*4</f>
        <v/>
      </c>
      <c r="H164">
        <f>LET(total, INT(E164)*60 + (E164-INT(E164))*100, blocks, QUOTIENT(total, 15), extra, MOD(total, 15), units, blocks + IF(extra&gt;=8, 1, 0), units)</f>
        <v/>
      </c>
      <c r="I164" t="inlineStr">
        <is>
          <t>O&amp;D 
97155</t>
        </is>
      </c>
      <c r="J164">
        <f>IF(L164="Level 1", VLOOKUP(I164, UserCodes!E:F, 2, FALSE) * H164, IF(L164="Level 2", VLOOKUP(I164, UserCodes!E:F, 2, FALSE) * H164 * 0.8, 0))</f>
        <v/>
      </c>
      <c r="K164" t="inlineStr">
        <is>
          <t>Abdulle, Zamzam</t>
        </is>
      </c>
      <c r="L164">
        <f>VLOOKUP(K164, UserCodes!A:B, 2, FALSE)</f>
        <v/>
      </c>
      <c r="M164" t="inlineStr">
        <is>
          <t>No note</t>
        </is>
      </c>
    </row>
    <row r="165">
      <c r="A165" t="inlineStr">
        <is>
          <t>Abdi, Ahmed</t>
        </is>
      </c>
      <c r="B165" s="3" t="n">
        <v>46008</v>
      </c>
      <c r="C165" t="inlineStr">
        <is>
          <t>05:00 PM - 08:00 PM</t>
        </is>
      </c>
      <c r="D165" t="inlineStr">
        <is>
          <t>03:00</t>
        </is>
      </c>
      <c r="E165">
        <f>HOUR(D165)+MINUTE(D165)/100</f>
        <v/>
      </c>
      <c r="F165">
        <f>ROUND(INT(E165) + (E165 - INT(E165)) * 100 / 60, 2)</f>
        <v/>
      </c>
      <c r="G165">
        <f>E165*4</f>
        <v/>
      </c>
      <c r="H165">
        <f>LET(total, INT(E165)*60 + (E165-INT(E165))*100, blocks, QUOTIENT(total, 15), extra, MOD(total, 15), units, blocks + IF(extra&gt;=8, 1, 0), units)</f>
        <v/>
      </c>
      <c r="I165" t="inlineStr">
        <is>
          <t>O&amp;D 
97155</t>
        </is>
      </c>
      <c r="J165">
        <f>IF(L165="Level 1", VLOOKUP(I165, UserCodes!E:F, 2, FALSE) * H165, IF(L165="Level 2", VLOOKUP(I165, UserCodes!E:F, 2, FALSE) * H165 * 0.8, 0))</f>
        <v/>
      </c>
      <c r="K165" t="inlineStr">
        <is>
          <t>Muse, Adna</t>
        </is>
      </c>
      <c r="L165">
        <f>VLOOKUP(K165, UserCodes!A:B, 2, FALSE)</f>
        <v/>
      </c>
    </row>
    <row r="166">
      <c r="A166" t="inlineStr">
        <is>
          <t>Abdi, Ahmed</t>
        </is>
      </c>
      <c r="B166" s="3" t="n">
        <v>46008</v>
      </c>
      <c r="C166" t="inlineStr">
        <is>
          <t>03:00 PM - 08:00 PM</t>
        </is>
      </c>
      <c r="D166" t="inlineStr">
        <is>
          <t>05:00</t>
        </is>
      </c>
      <c r="E166">
        <f>HOUR(D166)+MINUTE(D166)/100</f>
        <v/>
      </c>
      <c r="F166">
        <f>ROUND(INT(E166) + (E166 - INT(E166)) * 100 / 60, 2)</f>
        <v/>
      </c>
      <c r="G166">
        <f>E166*4</f>
        <v/>
      </c>
      <c r="H166">
        <f>LET(total, INT(E166)*60 + (E166-INT(E166))*100, blocks, QUOTIENT(total, 15), extra, MOD(total, 15), units, blocks + IF(extra&gt;=8, 1, 0), units)</f>
        <v/>
      </c>
      <c r="I166" t="inlineStr">
        <is>
          <t>1/1 
97153</t>
        </is>
      </c>
      <c r="J166">
        <f>IF(L166="Level 1", VLOOKUP(I166, UserCodes!E:F, 2, FALSE) * H166, IF(L166="Level 2", VLOOKUP(I166, UserCodes!E:F, 2, FALSE) * H166 * 0.8, 0))</f>
        <v/>
      </c>
      <c r="K166" t="inlineStr">
        <is>
          <t>Ibrahim, Ahmed</t>
        </is>
      </c>
      <c r="L166">
        <f>VLOOKUP(K166, UserCodes!A:B, 2, FALSE)</f>
        <v/>
      </c>
    </row>
    <row r="167">
      <c r="A167" t="inlineStr">
        <is>
          <t>Abdullahi, Abdirahman</t>
        </is>
      </c>
      <c r="B167" s="3" t="n">
        <v>46008</v>
      </c>
      <c r="C167" t="inlineStr">
        <is>
          <t>01:00pm - 04:00pm</t>
        </is>
      </c>
      <c r="E167">
        <f>HOUR(D167)+MINUTE(D167)/100</f>
        <v/>
      </c>
      <c r="F167">
        <f>ROUND(INT(E167) + (E167 - INT(E167)) * 100 / 60, 2)</f>
        <v/>
      </c>
      <c r="G167">
        <f>E167*4</f>
        <v/>
      </c>
      <c r="H167">
        <f>LET(total, INT(E167)*60 + (E167-INT(E167))*100, blocks, QUOTIENT(total, 15), extra, MOD(total, 15), units, blocks + IF(extra&gt;=8, 1, 0), units)</f>
        <v/>
      </c>
      <c r="I167" t="inlineStr">
        <is>
          <t>1/1 
97153</t>
        </is>
      </c>
      <c r="J167">
        <f>IF(L167="Level 1", VLOOKUP(I167, UserCodes!E:F, 2, FALSE) * H167, IF(L167="Level 2", VLOOKUP(I167, UserCodes!E:F, 2, FALSE) * H167 * 0.8, 0))</f>
        <v/>
      </c>
      <c r="K167" t="inlineStr">
        <is>
          <t>Ali, Nasteho</t>
        </is>
      </c>
      <c r="L167">
        <f>VLOOKUP(K167, UserCodes!A:B, 2, FALSE)</f>
        <v/>
      </c>
      <c r="M167" t="inlineStr">
        <is>
          <t>No note</t>
        </is>
      </c>
    </row>
    <row r="168">
      <c r="A168" t="inlineStr">
        <is>
          <t>Mohamed, Sumaya</t>
        </is>
      </c>
      <c r="B168" s="3" t="n">
        <v>46008</v>
      </c>
      <c r="C168" t="inlineStr">
        <is>
          <t>12:20 PM - 03:20 PM</t>
        </is>
      </c>
      <c r="D168" t="inlineStr">
        <is>
          <t>03:00</t>
        </is>
      </c>
      <c r="E168">
        <f>HOUR(D168)+MINUTE(D168)/100</f>
        <v/>
      </c>
      <c r="F168">
        <f>ROUND(INT(E168) + (E168 - INT(E168)) * 100 / 60, 2)</f>
        <v/>
      </c>
      <c r="G168">
        <f>E168*4</f>
        <v/>
      </c>
      <c r="H168">
        <f>LET(total, INT(E168)*60 + (E168-INT(E168))*100, blocks, QUOTIENT(total, 15), extra, MOD(total, 15), units, blocks + IF(extra&gt;=8, 1, 0), units)</f>
        <v/>
      </c>
      <c r="I168" t="inlineStr">
        <is>
          <t>O&amp;D 
97155</t>
        </is>
      </c>
      <c r="J168">
        <f>IF(L168="Level 1", VLOOKUP(I168, UserCodes!E:F, 2, FALSE) * H168, IF(L168="Level 2", VLOOKUP(I168, UserCodes!E:F, 2, FALSE) * H168 * 0.8, 0))</f>
        <v/>
      </c>
      <c r="K168" t="inlineStr">
        <is>
          <t>Muse, Aaliya</t>
        </is>
      </c>
      <c r="L168">
        <f>VLOOKUP(K168, UserCodes!A:B, 2, FALSE)</f>
        <v/>
      </c>
    </row>
    <row r="169">
      <c r="A169" t="inlineStr">
        <is>
          <t>Mohamed, Sumaya</t>
        </is>
      </c>
      <c r="B169" s="3" t="n">
        <v>46008</v>
      </c>
      <c r="C169" t="inlineStr">
        <is>
          <t>12:20 PM - 05:00 PM</t>
        </is>
      </c>
      <c r="D169" t="inlineStr">
        <is>
          <t>04:40</t>
        </is>
      </c>
      <c r="E169">
        <f>HOUR(D169)+MINUTE(D169)/100</f>
        <v/>
      </c>
      <c r="F169">
        <f>ROUND(INT(E169) + (E169 - INT(E169)) * 100 / 60, 2)</f>
        <v/>
      </c>
      <c r="G169">
        <f>E169*4</f>
        <v/>
      </c>
      <c r="H169">
        <f>LET(total, INT(E169)*60 + (E169-INT(E169))*100, blocks, QUOTIENT(total, 15), extra, MOD(total, 15), units, blocks + IF(extra&gt;=8, 1, 0), units)</f>
        <v/>
      </c>
      <c r="I169" t="inlineStr">
        <is>
          <t>1/1 
97153</t>
        </is>
      </c>
      <c r="J169">
        <f>IF(L169="Level 1", VLOOKUP(I169, UserCodes!E:F, 2, FALSE) * H169, IF(L169="Level 2", VLOOKUP(I169, UserCodes!E:F, 2, FALSE) * H169 * 0.8, 0))</f>
        <v/>
      </c>
      <c r="K169" t="inlineStr">
        <is>
          <t>Muse, Adna</t>
        </is>
      </c>
      <c r="L169">
        <f>VLOOKUP(K169, UserCodes!A:B, 2, FALSE)</f>
        <v/>
      </c>
    </row>
    <row r="170">
      <c r="A170" t="inlineStr">
        <is>
          <t>Yusuf 2, Khadra</t>
        </is>
      </c>
      <c r="B170" s="3" t="n">
        <v>46008</v>
      </c>
      <c r="C170" t="inlineStr">
        <is>
          <t>01:00 PM - 02:00 PM</t>
        </is>
      </c>
      <c r="D170" t="inlineStr">
        <is>
          <t>01:00</t>
        </is>
      </c>
      <c r="E170">
        <f>HOUR(D170)+MINUTE(D170)/100</f>
        <v/>
      </c>
      <c r="F170">
        <f>ROUND(INT(E170) + (E170 - INT(E170)) * 100 / 60, 2)</f>
        <v/>
      </c>
      <c r="G170">
        <f>E170*4</f>
        <v/>
      </c>
      <c r="H170">
        <f>LET(total, INT(E170)*60 + (E170-INT(E170))*100, blocks, QUOTIENT(total, 15), extra, MOD(total, 15), units, blocks + IF(extra&gt;=8, 1, 0), units)</f>
        <v/>
      </c>
      <c r="I170" t="inlineStr">
        <is>
          <t>O&amp;D 
97155</t>
        </is>
      </c>
      <c r="J170">
        <f>IF(L170="Level 1", VLOOKUP(I170, UserCodes!E:F, 2, FALSE) * H170, IF(L170="Level 2", VLOOKUP(I170, UserCodes!E:F, 2, FALSE) * H170 * 0.8, 0))</f>
        <v/>
      </c>
      <c r="K170" t="inlineStr">
        <is>
          <t>Muse, Ayni</t>
        </is>
      </c>
      <c r="L170">
        <f>VLOOKUP(K170, UserCodes!A:B, 2, FALSE)</f>
        <v/>
      </c>
    </row>
    <row r="171">
      <c r="A171" t="inlineStr">
        <is>
          <t>Sulub, Sharmake</t>
        </is>
      </c>
      <c r="B171" s="3" t="n">
        <v>46008</v>
      </c>
      <c r="C171" t="inlineStr">
        <is>
          <t>04:00 PM - 08:00 PM</t>
        </is>
      </c>
      <c r="D171" t="inlineStr">
        <is>
          <t>04:00</t>
        </is>
      </c>
      <c r="E171">
        <f>HOUR(D171)+MINUTE(D171)/100</f>
        <v/>
      </c>
      <c r="F171">
        <f>ROUND(INT(E171) + (E171 - INT(E171)) * 100 / 60, 2)</f>
        <v/>
      </c>
      <c r="G171">
        <f>E171*4</f>
        <v/>
      </c>
      <c r="H171">
        <f>LET(total, INT(E171)*60 + (E171-INT(E171))*100, blocks, QUOTIENT(total, 15), extra, MOD(total, 15), units, blocks + IF(extra&gt;=8, 1, 0), units)</f>
        <v/>
      </c>
      <c r="I171" t="inlineStr">
        <is>
          <t>1/1 
97153</t>
        </is>
      </c>
      <c r="J171">
        <f>IF(L171="Level 1", VLOOKUP(I171, UserCodes!E:F, 2, FALSE) * H171, IF(L171="Level 2", VLOOKUP(I171, UserCodes!E:F, 2, FALSE) * H171 * 0.8, 0))</f>
        <v/>
      </c>
      <c r="K171" t="inlineStr">
        <is>
          <t>Ali, Nasteho</t>
        </is>
      </c>
      <c r="L171">
        <f>VLOOKUP(K171, UserCodes!A:B, 2, FALSE)</f>
        <v/>
      </c>
    </row>
    <row r="172">
      <c r="A172" t="inlineStr">
        <is>
          <t>Yusuf 2, Khadra</t>
        </is>
      </c>
      <c r="B172" s="3" t="n">
        <v>46008</v>
      </c>
      <c r="C172" t="inlineStr">
        <is>
          <t>01:00 PM - 06:00 PM</t>
        </is>
      </c>
      <c r="D172" t="inlineStr">
        <is>
          <t>05:00</t>
        </is>
      </c>
      <c r="E172">
        <f>HOUR(D172)+MINUTE(D172)/100</f>
        <v/>
      </c>
      <c r="F172">
        <f>ROUND(INT(E172) + (E172 - INT(E172)) * 100 / 60, 2)</f>
        <v/>
      </c>
      <c r="G172">
        <f>E172*4</f>
        <v/>
      </c>
      <c r="H172">
        <f>LET(total, INT(E172)*60 + (E172-INT(E172))*100, blocks, QUOTIENT(total, 15), extra, MOD(total, 15), units, blocks + IF(extra&gt;=8, 1, 0), units)</f>
        <v/>
      </c>
      <c r="I172" t="inlineStr">
        <is>
          <t>1/1 
97153</t>
        </is>
      </c>
      <c r="J172">
        <f>IF(L172="Level 1", VLOOKUP(I172, UserCodes!E:F, 2, FALSE) * H172, IF(L172="Level 2", VLOOKUP(I172, UserCodes!E:F, 2, FALSE) * H172 * 0.8, 0))</f>
        <v/>
      </c>
      <c r="K172" t="inlineStr">
        <is>
          <t>Hashi, Ridwan</t>
        </is>
      </c>
      <c r="L172">
        <f>VLOOKUP(K172, UserCodes!A:B, 2, FALSE)</f>
        <v/>
      </c>
    </row>
    <row r="173">
      <c r="A173" t="inlineStr">
        <is>
          <t>Abdi, Samira</t>
        </is>
      </c>
      <c r="B173" s="3" t="n">
        <v>46008</v>
      </c>
      <c r="C173" t="inlineStr">
        <is>
          <t>05:00 PM - 08:00 PM</t>
        </is>
      </c>
      <c r="D173" t="inlineStr">
        <is>
          <t>03:00</t>
        </is>
      </c>
      <c r="E173">
        <f>HOUR(D173)+MINUTE(D173)/100</f>
        <v/>
      </c>
      <c r="F173">
        <f>ROUND(INT(E173) + (E173 - INT(E173)) * 100 / 60, 2)</f>
        <v/>
      </c>
      <c r="G173">
        <f>E173*4</f>
        <v/>
      </c>
      <c r="H173">
        <f>LET(total, INT(E173)*60 + (E173-INT(E173))*100, blocks, QUOTIENT(total, 15), extra, MOD(total, 15), units, blocks + IF(extra&gt;=8, 1, 0), units)</f>
        <v/>
      </c>
      <c r="I173" t="inlineStr">
        <is>
          <t>O&amp;D 
97155</t>
        </is>
      </c>
      <c r="J173">
        <f>IF(L173="Level 1", VLOOKUP(I173, UserCodes!E:F, 2, FALSE) * H173, IF(L173="Level 2", VLOOKUP(I173, UserCodes!E:F, 2, FALSE) * H173 * 0.8, 0))</f>
        <v/>
      </c>
      <c r="K173" t="inlineStr">
        <is>
          <t>Muse, Ayni</t>
        </is>
      </c>
      <c r="L173">
        <f>VLOOKUP(K173, UserCodes!A:B, 2, FALSE)</f>
        <v/>
      </c>
    </row>
    <row r="174">
      <c r="A174" t="inlineStr">
        <is>
          <t>Abdi, Safia</t>
        </is>
      </c>
      <c r="B174" s="3" t="n">
        <v>46008</v>
      </c>
      <c r="C174" t="inlineStr">
        <is>
          <t>09:45 AM - 11:30 AM</t>
        </is>
      </c>
      <c r="D174" t="inlineStr">
        <is>
          <t>01:45</t>
        </is>
      </c>
      <c r="E174">
        <f>HOUR(D174)+MINUTE(D174)/100</f>
        <v/>
      </c>
      <c r="F174">
        <f>ROUND(INT(E174) + (E174 - INT(E174)) * 100 / 60, 2)</f>
        <v/>
      </c>
      <c r="G174">
        <f>E174*4</f>
        <v/>
      </c>
      <c r="H174">
        <f>LET(total, INT(E174)*60 + (E174-INT(E174))*100, blocks, QUOTIENT(total, 15), extra, MOD(total, 15), units, blocks + IF(extra&gt;=8, 1, 0), units)</f>
        <v/>
      </c>
      <c r="J174">
        <f>IF(L174="Level 1", VLOOKUP(I174, UserCodes!E:F, 2, FALSE) * H174, IF(L174="Level 2", VLOOKUP(I174, UserCodes!E:F, 2, FALSE) * H174 * 0.8, 0))</f>
        <v/>
      </c>
      <c r="K174" t="inlineStr">
        <is>
          <t>Ahmed, Jama</t>
        </is>
      </c>
      <c r="L174">
        <f>VLOOKUP(K174, UserCodes!A:B, 2, FALSE)</f>
        <v/>
      </c>
      <c r="M174" t="inlineStr">
        <is>
          <t>No schedule</t>
        </is>
      </c>
    </row>
    <row r="175">
      <c r="A175" t="inlineStr">
        <is>
          <t>Abdi, Samira</t>
        </is>
      </c>
      <c r="B175" s="3" t="n">
        <v>46008</v>
      </c>
      <c r="C175" t="inlineStr">
        <is>
          <t>04:00 PM - 08:00 PM</t>
        </is>
      </c>
      <c r="D175" t="inlineStr">
        <is>
          <t>04:00</t>
        </is>
      </c>
      <c r="E175">
        <f>HOUR(D175)+MINUTE(D175)/100</f>
        <v/>
      </c>
      <c r="F175">
        <f>ROUND(INT(E175) + (E175 - INT(E175)) * 100 / 60, 2)</f>
        <v/>
      </c>
      <c r="G175">
        <f>E175*4</f>
        <v/>
      </c>
      <c r="H175">
        <f>LET(total, INT(E175)*60 + (E175-INT(E175))*100, blocks, QUOTIENT(total, 15), extra, MOD(total, 15), units, blocks + IF(extra&gt;=8, 1, 0), units)</f>
        <v/>
      </c>
      <c r="I175" t="inlineStr">
        <is>
          <t>1/1 
97153</t>
        </is>
      </c>
      <c r="J175">
        <f>IF(L175="Level 1", VLOOKUP(I175, UserCodes!E:F, 2, FALSE) * H175, IF(L175="Level 2", VLOOKUP(I175, UserCodes!E:F, 2, FALSE) * H175 * 0.8, 0))</f>
        <v/>
      </c>
      <c r="K175" t="inlineStr">
        <is>
          <t>Barqab, Mushtaq</t>
        </is>
      </c>
      <c r="L175">
        <f>VLOOKUP(K175, UserCodes!A:B, 2, FALSE)</f>
        <v/>
      </c>
    </row>
    <row r="176">
      <c r="A176" t="inlineStr">
        <is>
          <t>Abdi, Safia</t>
        </is>
      </c>
      <c r="B176" s="3" t="n">
        <v>46008</v>
      </c>
      <c r="C176" t="inlineStr">
        <is>
          <t>03:15 PM - 08:00 PM</t>
        </is>
      </c>
      <c r="D176" t="inlineStr">
        <is>
          <t>04:45</t>
        </is>
      </c>
      <c r="E176">
        <f>HOUR(D176)+MINUTE(D176)/100</f>
        <v/>
      </c>
      <c r="F176">
        <f>ROUND(INT(E176) + (E176 - INT(E176)) * 100 / 60, 2)</f>
        <v/>
      </c>
      <c r="G176">
        <f>E176*4</f>
        <v/>
      </c>
      <c r="H176">
        <f>LET(total, INT(E176)*60 + (E176-INT(E176))*100, blocks, QUOTIENT(total, 15), extra, MOD(total, 15), units, blocks + IF(extra&gt;=8, 1, 0), units)</f>
        <v/>
      </c>
      <c r="I176" t="inlineStr">
        <is>
          <t>1/1 
97153</t>
        </is>
      </c>
      <c r="J176">
        <f>IF(L176="Level 1", VLOOKUP(I176, UserCodes!E:F, 2, FALSE) * H176, IF(L176="Level 2", VLOOKUP(I176, UserCodes!E:F, 2, FALSE) * H176 * 0.8, 0))</f>
        <v/>
      </c>
      <c r="K176" t="inlineStr">
        <is>
          <t>Ali, Naima</t>
        </is>
      </c>
      <c r="L176">
        <f>VLOOKUP(K176, UserCodes!A:B, 2, FALSE)</f>
        <v/>
      </c>
    </row>
    <row r="177">
      <c r="A177" t="inlineStr">
        <is>
          <t>Abdi, Safia</t>
        </is>
      </c>
      <c r="B177" s="3" t="n">
        <v>46008</v>
      </c>
      <c r="C177" t="inlineStr">
        <is>
          <t>05:00 PM - 08:00 PM</t>
        </is>
      </c>
      <c r="D177" t="inlineStr">
        <is>
          <t>03:00</t>
        </is>
      </c>
      <c r="E177">
        <f>HOUR(D177)+MINUTE(D177)/100</f>
        <v/>
      </c>
      <c r="F177">
        <f>ROUND(INT(E177) + (E177 - INT(E177)) * 100 / 60, 2)</f>
        <v/>
      </c>
      <c r="G177">
        <f>E177*4</f>
        <v/>
      </c>
      <c r="H177">
        <f>LET(total, INT(E177)*60 + (E177-INT(E177))*100, blocks, QUOTIENT(total, 15), extra, MOD(total, 15), units, blocks + IF(extra&gt;=8, 1, 0), units)</f>
        <v/>
      </c>
      <c r="I177" t="inlineStr">
        <is>
          <t>O&amp;D 
97155</t>
        </is>
      </c>
      <c r="J177">
        <f>IF(L177="Level 1", VLOOKUP(I177, UserCodes!E:F, 2, FALSE) * H177, IF(L177="Level 2", VLOOKUP(I177, UserCodes!E:F, 2, FALSE) * H177 * 0.8, 0))</f>
        <v/>
      </c>
      <c r="K177" t="inlineStr">
        <is>
          <t>Noor, Kamilo</t>
        </is>
      </c>
      <c r="L177">
        <f>VLOOKUP(K177, UserCodes!A:B, 2, FALSE)</f>
        <v/>
      </c>
    </row>
    <row r="178">
      <c r="A178" t="inlineStr">
        <is>
          <t>Abdulkadir, Nadra</t>
        </is>
      </c>
      <c r="B178" s="3" t="n">
        <v>46008</v>
      </c>
      <c r="C178" t="inlineStr">
        <is>
          <t>01:30 PM - 04:30 PM</t>
        </is>
      </c>
      <c r="D178" t="inlineStr">
        <is>
          <t>03:00</t>
        </is>
      </c>
      <c r="E178">
        <f>HOUR(D178)+MINUTE(D178)/100</f>
        <v/>
      </c>
      <c r="F178">
        <f>ROUND(INT(E178) + (E178 - INT(E178)) * 100 / 60, 2)</f>
        <v/>
      </c>
      <c r="G178">
        <f>E178*4</f>
        <v/>
      </c>
      <c r="H178">
        <f>LET(total, INT(E178)*60 + (E178-INT(E178))*100, blocks, QUOTIENT(total, 15), extra, MOD(total, 15), units, blocks + IF(extra&gt;=8, 1, 0), units)</f>
        <v/>
      </c>
      <c r="I178" t="inlineStr">
        <is>
          <t>O&amp;D 
97155</t>
        </is>
      </c>
      <c r="J178">
        <f>IF(L178="Level 1", VLOOKUP(I178, UserCodes!E:F, 2, FALSE) * H178, IF(L178="Level 2", VLOOKUP(I178, UserCodes!E:F, 2, FALSE) * H178 * 0.8, 0))</f>
        <v/>
      </c>
      <c r="K178" t="inlineStr">
        <is>
          <t>Mohamed, Madar</t>
        </is>
      </c>
      <c r="L178">
        <f>VLOOKUP(K178, UserCodes!A:B, 2, FALSE)</f>
        <v/>
      </c>
    </row>
    <row r="179">
      <c r="A179" t="inlineStr">
        <is>
          <t>Abdulkadir, Nadra</t>
        </is>
      </c>
      <c r="B179" s="3" t="n">
        <v>46008</v>
      </c>
      <c r="C179" t="inlineStr">
        <is>
          <t>01:30 PM - 06:30 PM</t>
        </is>
      </c>
      <c r="D179" t="inlineStr">
        <is>
          <t>05:00</t>
        </is>
      </c>
      <c r="E179">
        <f>HOUR(D179)+MINUTE(D179)/100</f>
        <v/>
      </c>
      <c r="F179">
        <f>ROUND(INT(E179) + (E179 - INT(E179)) * 100 / 60, 2)</f>
        <v/>
      </c>
      <c r="G179">
        <f>E179*4</f>
        <v/>
      </c>
      <c r="H179">
        <f>LET(total, INT(E179)*60 + (E179-INT(E179))*100, blocks, QUOTIENT(total, 15), extra, MOD(total, 15), units, blocks + IF(extra&gt;=8, 1, 0), units)</f>
        <v/>
      </c>
      <c r="I179" t="inlineStr">
        <is>
          <t>1/1 
97153</t>
        </is>
      </c>
      <c r="J179">
        <f>IF(L179="Level 1", VLOOKUP(I179, UserCodes!E:F, 2, FALSE) * H179, IF(L179="Level 2", VLOOKUP(I179, UserCodes!E:F, 2, FALSE) * H179 * 0.8, 0))</f>
        <v/>
      </c>
      <c r="K179" t="inlineStr">
        <is>
          <t>ALI, AMIRA</t>
        </is>
      </c>
      <c r="L179">
        <f>VLOOKUP(K179, UserCodes!A:B, 2, FALSE)</f>
        <v/>
      </c>
    </row>
    <row r="180">
      <c r="A180" t="inlineStr">
        <is>
          <t>Abdi, Mohamed</t>
        </is>
      </c>
      <c r="B180" s="3" t="n">
        <v>46008</v>
      </c>
      <c r="C180" t="inlineStr">
        <is>
          <t>06:00 PM - 08:00 PM</t>
        </is>
      </c>
      <c r="D180" t="inlineStr">
        <is>
          <t>02:00</t>
        </is>
      </c>
      <c r="E180">
        <f>HOUR(D180)+MINUTE(D180)/100</f>
        <v/>
      </c>
      <c r="F180">
        <f>ROUND(INT(E180) + (E180 - INT(E180)) * 100 / 60, 2)</f>
        <v/>
      </c>
      <c r="G180">
        <f>E180*4</f>
        <v/>
      </c>
      <c r="H180">
        <f>LET(total, INT(E180)*60 + (E180-INT(E180))*100, blocks, QUOTIENT(total, 15), extra, MOD(total, 15), units, blocks + IF(extra&gt;=8, 1, 0), units)</f>
        <v/>
      </c>
      <c r="I180" t="inlineStr">
        <is>
          <t>O&amp;D 
97155</t>
        </is>
      </c>
      <c r="J180">
        <f>IF(L180="Level 1", VLOOKUP(I180, UserCodes!E:F, 2, FALSE) * H180, IF(L180="Level 2", VLOOKUP(I180, UserCodes!E:F, 2, FALSE) * H180 * 0.8, 0))</f>
        <v/>
      </c>
      <c r="K180" t="inlineStr">
        <is>
          <t>Hashi, Ridwan</t>
        </is>
      </c>
      <c r="L180">
        <f>VLOOKUP(K180, UserCodes!A:B, 2, FALSE)</f>
        <v/>
      </c>
    </row>
    <row r="181">
      <c r="A181" t="inlineStr">
        <is>
          <t>Yusuf, Khadija</t>
        </is>
      </c>
      <c r="B181" s="3" t="n">
        <v>46008</v>
      </c>
      <c r="C181" t="inlineStr">
        <is>
          <t>02:00 PM - 05:00 PM</t>
        </is>
      </c>
      <c r="D181" t="inlineStr">
        <is>
          <t>03:00</t>
        </is>
      </c>
      <c r="E181">
        <f>HOUR(D181)+MINUTE(D181)/100</f>
        <v/>
      </c>
      <c r="F181">
        <f>ROUND(INT(E181) + (E181 - INT(E181)) * 100 / 60, 2)</f>
        <v/>
      </c>
      <c r="G181">
        <f>E181*4</f>
        <v/>
      </c>
      <c r="H181">
        <f>LET(total, INT(E181)*60 + (E181-INT(E181))*100, blocks, QUOTIENT(total, 15), extra, MOD(total, 15), units, blocks + IF(extra&gt;=8, 1, 0), units)</f>
        <v/>
      </c>
      <c r="I181" t="inlineStr">
        <is>
          <t>O&amp;D 
97155</t>
        </is>
      </c>
      <c r="J181">
        <f>IF(L181="Level 1", VLOOKUP(I181, UserCodes!E:F, 2, FALSE) * H181, IF(L181="Level 2", VLOOKUP(I181, UserCodes!E:F, 2, FALSE) * H181 * 0.8, 0))</f>
        <v/>
      </c>
      <c r="K181" t="inlineStr">
        <is>
          <t>Noor, Kamilo</t>
        </is>
      </c>
      <c r="L181">
        <f>VLOOKUP(K181, UserCodes!A:B, 2, FALSE)</f>
        <v/>
      </c>
    </row>
    <row r="182">
      <c r="A182" t="inlineStr">
        <is>
          <t>Yusuf, Khadija</t>
        </is>
      </c>
      <c r="B182" s="3" t="n">
        <v>46008</v>
      </c>
      <c r="C182" t="inlineStr">
        <is>
          <t>01:00 PM - 06:00 PM</t>
        </is>
      </c>
      <c r="D182" t="inlineStr">
        <is>
          <t>05:00</t>
        </is>
      </c>
      <c r="E182">
        <f>HOUR(D182)+MINUTE(D182)/100</f>
        <v/>
      </c>
      <c r="F182">
        <f>ROUND(INT(E182) + (E182 - INT(E182)) * 100 / 60, 2)</f>
        <v/>
      </c>
      <c r="G182">
        <f>E182*4</f>
        <v/>
      </c>
      <c r="H182">
        <f>LET(total, INT(E182)*60 + (E182-INT(E182))*100, blocks, QUOTIENT(total, 15), extra, MOD(total, 15), units, blocks + IF(extra&gt;=8, 1, 0), units)</f>
        <v/>
      </c>
      <c r="I182" t="inlineStr">
        <is>
          <t>1/1 
97153</t>
        </is>
      </c>
      <c r="J182">
        <f>IF(L182="Level 1", VLOOKUP(I182, UserCodes!E:F, 2, FALSE) * H182, IF(L182="Level 2", VLOOKUP(I182, UserCodes!E:F, 2, FALSE) * H182 * 0.8, 0))</f>
        <v/>
      </c>
      <c r="K182" t="inlineStr">
        <is>
          <t>Ran, Sameya</t>
        </is>
      </c>
      <c r="L182">
        <f>VLOOKUP(K182, UserCodes!A:B, 2, FALSE)</f>
        <v/>
      </c>
    </row>
    <row r="183">
      <c r="A183" t="inlineStr">
        <is>
          <t>Ali, Saami</t>
        </is>
      </c>
      <c r="B183" s="3" t="n">
        <v>46008</v>
      </c>
      <c r="C183" t="inlineStr">
        <is>
          <t>03:20 PM - 08:00 PM</t>
        </is>
      </c>
      <c r="D183" t="inlineStr">
        <is>
          <t>04:40</t>
        </is>
      </c>
      <c r="E183">
        <f>HOUR(D183)+MINUTE(D183)/100</f>
        <v/>
      </c>
      <c r="F183">
        <f>ROUND(INT(E183) + (E183 - INT(E183)) * 100 / 60, 2)</f>
        <v/>
      </c>
      <c r="G183">
        <f>E183*4</f>
        <v/>
      </c>
      <c r="H183">
        <f>LET(total, INT(E183)*60 + (E183-INT(E183))*100, blocks, QUOTIENT(total, 15), extra, MOD(total, 15), units, blocks + IF(extra&gt;=8, 1, 0), units)</f>
        <v/>
      </c>
      <c r="I183" t="inlineStr">
        <is>
          <t>1/1 
97153</t>
        </is>
      </c>
      <c r="J183">
        <f>IF(L183="Level 1", VLOOKUP(I183, UserCodes!E:F, 2, FALSE) * H183, IF(L183="Level 2", VLOOKUP(I183, UserCodes!E:F, 2, FALSE) * H183 * 0.8, 0))</f>
        <v/>
      </c>
      <c r="K183" t="inlineStr">
        <is>
          <t>Muse, Aaliya</t>
        </is>
      </c>
      <c r="L183">
        <f>VLOOKUP(K183, UserCodes!A:B, 2, FALSE)</f>
        <v/>
      </c>
    </row>
    <row r="184">
      <c r="A184" t="inlineStr">
        <is>
          <t>Abdi, Mohamed</t>
        </is>
      </c>
      <c r="B184" s="3" t="n">
        <v>46008</v>
      </c>
      <c r="C184" t="inlineStr">
        <is>
          <t>03:00 PM - 08:00 PM</t>
        </is>
      </c>
      <c r="D184" t="inlineStr">
        <is>
          <t>05:00</t>
        </is>
      </c>
      <c r="E184">
        <f>HOUR(D184)+MINUTE(D184)/100</f>
        <v/>
      </c>
      <c r="F184">
        <f>ROUND(INT(E184) + (E184 - INT(E184)) * 100 / 60, 2)</f>
        <v/>
      </c>
      <c r="G184">
        <f>E184*4</f>
        <v/>
      </c>
      <c r="H184">
        <f>LET(total, INT(E184)*60 + (E184-INT(E184))*100, blocks, QUOTIENT(total, 15), extra, MOD(total, 15), units, blocks + IF(extra&gt;=8, 1, 0), units)</f>
        <v/>
      </c>
      <c r="I184" t="inlineStr">
        <is>
          <t>1/1 
97153</t>
        </is>
      </c>
      <c r="J184">
        <f>IF(L184="Level 1", VLOOKUP(I184, UserCodes!E:F, 2, FALSE) * H184, IF(L184="Level 2", VLOOKUP(I184, UserCodes!E:F, 2, FALSE) * H184 * 0.8, 0))</f>
        <v/>
      </c>
      <c r="K184" t="inlineStr">
        <is>
          <t>Omar, Mohamed</t>
        </is>
      </c>
      <c r="L184">
        <f>VLOOKUP(K184, UserCodes!A:B, 2, FALSE)</f>
        <v/>
      </c>
    </row>
    <row r="185">
      <c r="A185" t="inlineStr">
        <is>
          <t>Abdullahi, Abdirahman</t>
        </is>
      </c>
      <c r="B185" s="3" t="n">
        <v>46008</v>
      </c>
      <c r="C185" t="inlineStr">
        <is>
          <t>01:00 PM - 05:00 PM</t>
        </is>
      </c>
      <c r="D185" t="inlineStr">
        <is>
          <t>04:00</t>
        </is>
      </c>
      <c r="E185">
        <f>HOUR(D185)+MINUTE(D185)/100</f>
        <v/>
      </c>
      <c r="F185">
        <f>ROUND(INT(E185) + (E185 - INT(E185)) * 100 / 60, 2)</f>
        <v/>
      </c>
      <c r="G185">
        <f>E185*4</f>
        <v/>
      </c>
      <c r="H185">
        <f>LET(total, INT(E185)*60 + (E185-INT(E185))*100, blocks, QUOTIENT(total, 15), extra, MOD(total, 15), units, blocks + IF(extra&gt;=8, 1, 0), units)</f>
        <v/>
      </c>
      <c r="I185" t="inlineStr">
        <is>
          <t>1/1 
97153</t>
        </is>
      </c>
      <c r="J185">
        <f>IF(L185="Level 1", VLOOKUP(I185, UserCodes!E:F, 2, FALSE) * H185, IF(L185="Level 2", VLOOKUP(I185, UserCodes!E:F, 2, FALSE) * H185 * 0.8, 0))</f>
        <v/>
      </c>
      <c r="K185" t="inlineStr">
        <is>
          <t>Hawadle, Abdiaziz</t>
        </is>
      </c>
      <c r="L185">
        <f>VLOOKUP(K185, UserCodes!A:B, 2, FALSE)</f>
        <v/>
      </c>
    </row>
    <row r="186">
      <c r="A186" t="inlineStr">
        <is>
          <t>Abdullahi, Abdirahman</t>
        </is>
      </c>
      <c r="B186" s="3" t="n">
        <v>46008</v>
      </c>
      <c r="C186" t="inlineStr">
        <is>
          <t>12:45 PM - 02:50 PM</t>
        </is>
      </c>
      <c r="D186" t="inlineStr">
        <is>
          <t>02:05</t>
        </is>
      </c>
      <c r="E186">
        <f>HOUR(D186)+MINUTE(D186)/100</f>
        <v/>
      </c>
      <c r="F186">
        <f>ROUND(INT(E186) + (E186 - INT(E186)) * 100 / 60, 2)</f>
        <v/>
      </c>
      <c r="G186">
        <f>E186*4</f>
        <v/>
      </c>
      <c r="H186">
        <f>LET(total, INT(E186)*60 + (E186-INT(E186))*100, blocks, QUOTIENT(total, 15), extra, MOD(total, 15), units, blocks + IF(extra&gt;=8, 1, 0), units)</f>
        <v/>
      </c>
      <c r="J186">
        <f>IF(L186="Level 1", VLOOKUP(I186, UserCodes!E:F, 2, FALSE) * H186, IF(L186="Level 2", VLOOKUP(I186, UserCodes!E:F, 2, FALSE) * H186 * 0.8, 0))</f>
        <v/>
      </c>
      <c r="K186" t="inlineStr">
        <is>
          <t>Ahmed, Jama</t>
        </is>
      </c>
      <c r="L186">
        <f>VLOOKUP(K186, UserCodes!A:B, 2, FALSE)</f>
        <v/>
      </c>
      <c r="M186" t="inlineStr">
        <is>
          <t>No schedule</t>
        </is>
      </c>
    </row>
    <row r="187">
      <c r="A187" t="inlineStr">
        <is>
          <t>Ali, Saami</t>
        </is>
      </c>
      <c r="B187" s="3" t="n">
        <v>46009</v>
      </c>
      <c r="C187" t="inlineStr">
        <is>
          <t>03:00 PM - 08:00 PM</t>
        </is>
      </c>
      <c r="D187" t="inlineStr">
        <is>
          <t>05:00</t>
        </is>
      </c>
      <c r="E187">
        <f>HOUR(D187)+MINUTE(D187)/100</f>
        <v/>
      </c>
      <c r="F187">
        <f>ROUND(INT(E187) + (E187 - INT(E187)) * 100 / 60, 2)</f>
        <v/>
      </c>
      <c r="G187">
        <f>E187*4</f>
        <v/>
      </c>
      <c r="H187">
        <f>LET(total, INT(E187)*60 + (E187-INT(E187))*100, blocks, QUOTIENT(total, 15), extra, MOD(total, 15), units, blocks + IF(extra&gt;=8, 1, 0), units)</f>
        <v/>
      </c>
      <c r="I187" t="inlineStr">
        <is>
          <t>1/1 
97153</t>
        </is>
      </c>
      <c r="J187">
        <f>IF(L187="Level 1", VLOOKUP(I187, UserCodes!E:F, 2, FALSE) * H187, IF(L187="Level 2", VLOOKUP(I187, UserCodes!E:F, 2, FALSE) * H187 * 0.8, 0))</f>
        <v/>
      </c>
      <c r="K187" t="inlineStr">
        <is>
          <t>Muse, Aaliya</t>
        </is>
      </c>
      <c r="L187">
        <f>VLOOKUP(K187, UserCodes!A:B, 2, FALSE)</f>
        <v/>
      </c>
    </row>
    <row r="188">
      <c r="A188" t="inlineStr">
        <is>
          <t>Abdulkadir, Nadra</t>
        </is>
      </c>
      <c r="B188" s="3" t="n">
        <v>46009</v>
      </c>
      <c r="C188" t="inlineStr">
        <is>
          <t>12:00 PM - 03:00 PM</t>
        </is>
      </c>
      <c r="D188" t="inlineStr">
        <is>
          <t>03:00</t>
        </is>
      </c>
      <c r="E188">
        <f>HOUR(D188)+MINUTE(D188)/100</f>
        <v/>
      </c>
      <c r="F188">
        <f>ROUND(INT(E188) + (E188 - INT(E188)) * 100 / 60, 2)</f>
        <v/>
      </c>
      <c r="G188">
        <f>E188*4</f>
        <v/>
      </c>
      <c r="H188">
        <f>LET(total, INT(E188)*60 + (E188-INT(E188))*100, blocks, QUOTIENT(total, 15), extra, MOD(total, 15), units, blocks + IF(extra&gt;=8, 1, 0), units)</f>
        <v/>
      </c>
      <c r="I188" t="inlineStr">
        <is>
          <t>O&amp;D 
97155</t>
        </is>
      </c>
      <c r="J188">
        <f>IF(L188="Level 1", VLOOKUP(I188, UserCodes!E:F, 2, FALSE) * H188, IF(L188="Level 2", VLOOKUP(I188, UserCodes!E:F, 2, FALSE) * H188 * 0.8, 0))</f>
        <v/>
      </c>
      <c r="K188" t="inlineStr">
        <is>
          <t>Mohamed, Madar</t>
        </is>
      </c>
      <c r="L188">
        <f>VLOOKUP(K188, UserCodes!A:B, 2, FALSE)</f>
        <v/>
      </c>
    </row>
    <row r="189">
      <c r="A189" t="inlineStr">
        <is>
          <t>Sulub, Sharmake</t>
        </is>
      </c>
      <c r="B189" s="3" t="n">
        <v>46009</v>
      </c>
      <c r="C189" t="inlineStr">
        <is>
          <t>04:00 PM - 08:00 PM</t>
        </is>
      </c>
      <c r="D189" t="inlineStr">
        <is>
          <t>04:00</t>
        </is>
      </c>
      <c r="E189">
        <f>HOUR(D189)+MINUTE(D189)/100</f>
        <v/>
      </c>
      <c r="F189">
        <f>ROUND(INT(E189) + (E189 - INT(E189)) * 100 / 60, 2)</f>
        <v/>
      </c>
      <c r="G189">
        <f>E189*4</f>
        <v/>
      </c>
      <c r="H189">
        <f>LET(total, INT(E189)*60 + (E189-INT(E189))*100, blocks, QUOTIENT(total, 15), extra, MOD(total, 15), units, blocks + IF(extra&gt;=8, 1, 0), units)</f>
        <v/>
      </c>
      <c r="I189" t="inlineStr">
        <is>
          <t>1/1 
97153</t>
        </is>
      </c>
      <c r="J189">
        <f>IF(L189="Level 1", VLOOKUP(I189, UserCodes!E:F, 2, FALSE) * H189, IF(L189="Level 2", VLOOKUP(I189, UserCodes!E:F, 2, FALSE) * H189 * 0.8, 0))</f>
        <v/>
      </c>
      <c r="K189" t="inlineStr">
        <is>
          <t>Ali, Nasteho</t>
        </is>
      </c>
      <c r="L189">
        <f>VLOOKUP(K189, UserCodes!A:B, 2, FALSE)</f>
        <v/>
      </c>
    </row>
    <row r="190">
      <c r="A190" t="inlineStr">
        <is>
          <t>Abdullahi, Abdirahman</t>
        </is>
      </c>
      <c r="B190" s="3" t="n">
        <v>46009</v>
      </c>
      <c r="C190" t="inlineStr">
        <is>
          <t>01:00 PM - 05:00 PM</t>
        </is>
      </c>
      <c r="D190" t="inlineStr">
        <is>
          <t>04:00</t>
        </is>
      </c>
      <c r="E190">
        <f>HOUR(D190)+MINUTE(D190)/100</f>
        <v/>
      </c>
      <c r="F190">
        <f>ROUND(INT(E190) + (E190 - INT(E190)) * 100 / 60, 2)</f>
        <v/>
      </c>
      <c r="G190">
        <f>E190*4</f>
        <v/>
      </c>
      <c r="H190">
        <f>LET(total, INT(E190)*60 + (E190-INT(E190))*100, blocks, QUOTIENT(total, 15), extra, MOD(total, 15), units, blocks + IF(extra&gt;=8, 1, 0), units)</f>
        <v/>
      </c>
      <c r="I190" t="inlineStr">
        <is>
          <t>1/1 
97153</t>
        </is>
      </c>
      <c r="J190">
        <f>IF(L190="Level 1", VLOOKUP(I190, UserCodes!E:F, 2, FALSE) * H190, IF(L190="Level 2", VLOOKUP(I190, UserCodes!E:F, 2, FALSE) * H190 * 0.8, 0))</f>
        <v/>
      </c>
      <c r="K190" t="inlineStr">
        <is>
          <t>Omar, Mohamed</t>
        </is>
      </c>
      <c r="L190">
        <f>VLOOKUP(K190, UserCodes!A:B, 2, FALSE)</f>
        <v/>
      </c>
    </row>
    <row r="191">
      <c r="A191" t="inlineStr">
        <is>
          <t>Abdi, Samira</t>
        </is>
      </c>
      <c r="B191" s="3" t="n">
        <v>46009</v>
      </c>
      <c r="C191" t="inlineStr">
        <is>
          <t>04:00pm - 05:00pm</t>
        </is>
      </c>
      <c r="E191">
        <f>HOUR(D191)+MINUTE(D191)/100</f>
        <v/>
      </c>
      <c r="F191">
        <f>ROUND(INT(E191) + (E191 - INT(E191)) * 100 / 60, 2)</f>
        <v/>
      </c>
      <c r="G191">
        <f>E191*4</f>
        <v/>
      </c>
      <c r="H191">
        <f>LET(total, INT(E191)*60 + (E191-INT(E191))*100, blocks, QUOTIENT(total, 15), extra, MOD(total, 15), units, blocks + IF(extra&gt;=8, 1, 0), units)</f>
        <v/>
      </c>
      <c r="I191" t="inlineStr">
        <is>
          <t>1/1 
97153</t>
        </is>
      </c>
      <c r="J191">
        <f>IF(L191="Level 1", VLOOKUP(I191, UserCodes!E:F, 2, FALSE) * H191, IF(L191="Level 2", VLOOKUP(I191, UserCodes!E:F, 2, FALSE) * H191 * 0.8, 0))</f>
        <v/>
      </c>
      <c r="K191" t="inlineStr">
        <is>
          <t>Abdulle, Zamzam</t>
        </is>
      </c>
      <c r="L191">
        <f>VLOOKUP(K191, UserCodes!A:B, 2, FALSE)</f>
        <v/>
      </c>
      <c r="M191" t="inlineStr">
        <is>
          <t>No note</t>
        </is>
      </c>
    </row>
    <row r="192">
      <c r="A192" t="inlineStr">
        <is>
          <t>Sulub, Sharmake</t>
        </is>
      </c>
      <c r="B192" s="3" t="n">
        <v>46009</v>
      </c>
      <c r="C192" t="inlineStr">
        <is>
          <t>04:00 PM - 07:00 PM</t>
        </is>
      </c>
      <c r="D192" t="inlineStr">
        <is>
          <t>03:00</t>
        </is>
      </c>
      <c r="E192">
        <f>HOUR(D192)+MINUTE(D192)/100</f>
        <v/>
      </c>
      <c r="F192">
        <f>ROUND(INT(E192) + (E192 - INT(E192)) * 100 / 60, 2)</f>
        <v/>
      </c>
      <c r="G192">
        <f>E192*4</f>
        <v/>
      </c>
      <c r="H192">
        <f>LET(total, INT(E192)*60 + (E192-INT(E192))*100, blocks, QUOTIENT(total, 15), extra, MOD(total, 15), units, blocks + IF(extra&gt;=8, 1, 0), units)</f>
        <v/>
      </c>
      <c r="I192" t="inlineStr">
        <is>
          <t>O&amp;D 
97155</t>
        </is>
      </c>
      <c r="J192">
        <f>IF(L192="Level 1", VLOOKUP(I192, UserCodes!E:F, 2, FALSE) * H192, IF(L192="Level 2", VLOOKUP(I192, UserCodes!E:F, 2, FALSE) * H192 * 0.8, 0))</f>
        <v/>
      </c>
      <c r="K192" t="inlineStr">
        <is>
          <t>Muse, Ayni</t>
        </is>
      </c>
      <c r="L192">
        <f>VLOOKUP(K192, UserCodes!A:B, 2, FALSE)</f>
        <v/>
      </c>
    </row>
    <row r="193">
      <c r="A193" t="inlineStr">
        <is>
          <t>Abdulkadir, Nadra</t>
        </is>
      </c>
      <c r="B193" s="3" t="n">
        <v>46009</v>
      </c>
      <c r="C193" t="inlineStr">
        <is>
          <t>11:00 AM - 06:30 PM</t>
        </is>
      </c>
      <c r="D193" t="inlineStr">
        <is>
          <t>07:30</t>
        </is>
      </c>
      <c r="E193">
        <f>HOUR(D193)+MINUTE(D193)/100</f>
        <v/>
      </c>
      <c r="F193">
        <f>ROUND(INT(E193) + (E193 - INT(E193)) * 100 / 60, 2)</f>
        <v/>
      </c>
      <c r="G193">
        <f>E193*4</f>
        <v/>
      </c>
      <c r="H193">
        <f>LET(total, INT(E193)*60 + (E193-INT(E193))*100, blocks, QUOTIENT(total, 15), extra, MOD(total, 15), units, blocks + IF(extra&gt;=8, 1, 0), units)</f>
        <v/>
      </c>
      <c r="I193" t="inlineStr">
        <is>
          <t>1/1 
97153</t>
        </is>
      </c>
      <c r="J193">
        <f>IF(L193="Level 1", VLOOKUP(I193, UserCodes!E:F, 2, FALSE) * H193, IF(L193="Level 2", VLOOKUP(I193, UserCodes!E:F, 2, FALSE) * H193 * 0.8, 0))</f>
        <v/>
      </c>
      <c r="K193" t="inlineStr">
        <is>
          <t>Ran, Sameya</t>
        </is>
      </c>
      <c r="L193">
        <f>VLOOKUP(K193, UserCodes!A:B, 2, FALSE)</f>
        <v/>
      </c>
    </row>
    <row r="194">
      <c r="A194" t="inlineStr">
        <is>
          <t>Mohamed, Sumaya</t>
        </is>
      </c>
      <c r="B194" s="3" t="n">
        <v>46009</v>
      </c>
      <c r="C194" t="inlineStr">
        <is>
          <t>03:30 PM - 07:00 PM</t>
        </is>
      </c>
      <c r="D194" t="inlineStr">
        <is>
          <t>03:30</t>
        </is>
      </c>
      <c r="E194">
        <f>HOUR(D194)+MINUTE(D194)/100</f>
        <v/>
      </c>
      <c r="F194">
        <f>ROUND(INT(E194) + (E194 - INT(E194)) * 100 / 60, 2)</f>
        <v/>
      </c>
      <c r="G194">
        <f>E194*4</f>
        <v/>
      </c>
      <c r="H194">
        <f>LET(total, INT(E194)*60 + (E194-INT(E194))*100, blocks, QUOTIENT(total, 15), extra, MOD(total, 15), units, blocks + IF(extra&gt;=8, 1, 0), units)</f>
        <v/>
      </c>
      <c r="I194" t="inlineStr">
        <is>
          <t>1/1 
97153</t>
        </is>
      </c>
      <c r="J194">
        <f>IF(L194="Level 1", VLOOKUP(I194, UserCodes!E:F, 2, FALSE) * H194, IF(L194="Level 2", VLOOKUP(I194, UserCodes!E:F, 2, FALSE) * H194 * 0.8, 0))</f>
        <v/>
      </c>
      <c r="K194" t="inlineStr">
        <is>
          <t>Hashi, Ridwan</t>
        </is>
      </c>
      <c r="L194">
        <f>VLOOKUP(K194, UserCodes!A:B, 2, FALSE)</f>
        <v/>
      </c>
    </row>
    <row r="195">
      <c r="A195" t="inlineStr">
        <is>
          <t>Mohamed, Sumaya</t>
        </is>
      </c>
      <c r="B195" s="3" t="n">
        <v>46009</v>
      </c>
      <c r="C195" t="inlineStr">
        <is>
          <t>12:30 PM - 02:00 PM</t>
        </is>
      </c>
      <c r="D195" t="inlineStr">
        <is>
          <t>01:30</t>
        </is>
      </c>
      <c r="E195">
        <f>HOUR(D195)+MINUTE(D195)/100</f>
        <v/>
      </c>
      <c r="F195">
        <f>ROUND(INT(E195) + (E195 - INT(E195)) * 100 / 60, 2)</f>
        <v/>
      </c>
      <c r="G195">
        <f>E195*4</f>
        <v/>
      </c>
      <c r="H195">
        <f>LET(total, INT(E195)*60 + (E195-INT(E195))*100, blocks, QUOTIENT(total, 15), extra, MOD(total, 15), units, blocks + IF(extra&gt;=8, 1, 0), units)</f>
        <v/>
      </c>
      <c r="I195" t="inlineStr">
        <is>
          <t>O&amp;D 
97155</t>
        </is>
      </c>
      <c r="J195">
        <f>IF(L195="Level 1", VLOOKUP(I195, UserCodes!E:F, 2, FALSE) * H195, IF(L195="Level 2", VLOOKUP(I195, UserCodes!E:F, 2, FALSE) * H195 * 0.8, 0))</f>
        <v/>
      </c>
      <c r="K195" t="inlineStr">
        <is>
          <t>Muse, Adna</t>
        </is>
      </c>
      <c r="L195">
        <f>VLOOKUP(K195, UserCodes!A:B, 2, FALSE)</f>
        <v/>
      </c>
    </row>
    <row r="196">
      <c r="A196" t="inlineStr">
        <is>
          <t>Yusuf, Khadija</t>
        </is>
      </c>
      <c r="B196" s="3" t="n">
        <v>46009</v>
      </c>
      <c r="C196" t="inlineStr">
        <is>
          <t>04:00 PM - 06:00 PM</t>
        </is>
      </c>
      <c r="D196" t="inlineStr">
        <is>
          <t>02:00</t>
        </is>
      </c>
      <c r="E196">
        <f>HOUR(D196)+MINUTE(D196)/100</f>
        <v/>
      </c>
      <c r="F196">
        <f>ROUND(INT(E196) + (E196 - INT(E196)) * 100 / 60, 2)</f>
        <v/>
      </c>
      <c r="G196">
        <f>E196*4</f>
        <v/>
      </c>
      <c r="H196">
        <f>LET(total, INT(E196)*60 + (E196-INT(E196))*100, blocks, QUOTIENT(total, 15), extra, MOD(total, 15), units, blocks + IF(extra&gt;=8, 1, 0), units)</f>
        <v/>
      </c>
      <c r="I196" t="inlineStr">
        <is>
          <t>1/1 
97153</t>
        </is>
      </c>
      <c r="J196">
        <f>IF(L196="Level 1", VLOOKUP(I196, UserCodes!E:F, 2, FALSE) * H196, IF(L196="Level 2", VLOOKUP(I196, UserCodes!E:F, 2, FALSE) * H196 * 0.8, 0))</f>
        <v/>
      </c>
      <c r="K196" t="inlineStr">
        <is>
          <t>Noor, Kamilo</t>
        </is>
      </c>
      <c r="L196">
        <f>VLOOKUP(K196, UserCodes!A:B, 2, FALSE)</f>
        <v/>
      </c>
    </row>
    <row r="197">
      <c r="A197" t="inlineStr">
        <is>
          <t>Abdullahi, Abdirahman</t>
        </is>
      </c>
      <c r="B197" s="3" t="n">
        <v>46009</v>
      </c>
      <c r="C197" t="inlineStr">
        <is>
          <t>01:00 PM - 05:00 PM</t>
        </is>
      </c>
      <c r="D197" t="inlineStr">
        <is>
          <t>04:00</t>
        </is>
      </c>
      <c r="E197">
        <f>HOUR(D197)+MINUTE(D197)/100</f>
        <v/>
      </c>
      <c r="F197">
        <f>ROUND(INT(E197) + (E197 - INT(E197)) * 100 / 60, 2)</f>
        <v/>
      </c>
      <c r="G197">
        <f>E197*4</f>
        <v/>
      </c>
      <c r="H197">
        <f>LET(total, INT(E197)*60 + (E197-INT(E197))*100, blocks, QUOTIENT(total, 15), extra, MOD(total, 15), units, blocks + IF(extra&gt;=8, 1, 0), units)</f>
        <v/>
      </c>
      <c r="I197" t="inlineStr">
        <is>
          <t>O&amp;D 
97155</t>
        </is>
      </c>
      <c r="J197">
        <f>IF(L197="Level 1", VLOOKUP(I197, UserCodes!E:F, 2, FALSE) * H197, IF(L197="Level 2", VLOOKUP(I197, UserCodes!E:F, 2, FALSE) * H197 * 0.8, 0))</f>
        <v/>
      </c>
      <c r="K197" t="inlineStr">
        <is>
          <t>Hawadle, Abdiaziz</t>
        </is>
      </c>
      <c r="L197">
        <f>VLOOKUP(K197, UserCodes!A:B, 2, FALSE)</f>
        <v/>
      </c>
    </row>
    <row r="198">
      <c r="A198" t="inlineStr">
        <is>
          <t>Abdi, Mohamed</t>
        </is>
      </c>
      <c r="B198" s="3" t="n">
        <v>46009</v>
      </c>
      <c r="C198" t="inlineStr">
        <is>
          <t>03:00 PM - 07:40 PM</t>
        </is>
      </c>
      <c r="D198" t="inlineStr">
        <is>
          <t>04:40</t>
        </is>
      </c>
      <c r="E198">
        <f>HOUR(D198)+MINUTE(D198)/100</f>
        <v/>
      </c>
      <c r="F198">
        <f>ROUND(INT(E198) + (E198 - INT(E198)) * 100 / 60, 2)</f>
        <v/>
      </c>
      <c r="G198">
        <f>E198*4</f>
        <v/>
      </c>
      <c r="H198">
        <f>LET(total, INT(E198)*60 + (E198-INT(E198))*100, blocks, QUOTIENT(total, 15), extra, MOD(total, 15), units, blocks + IF(extra&gt;=8, 1, 0), units)</f>
        <v/>
      </c>
      <c r="I198" t="inlineStr">
        <is>
          <t>1/1 
97153</t>
        </is>
      </c>
      <c r="J198">
        <f>IF(L198="Level 1", VLOOKUP(I198, UserCodes!E:F, 2, FALSE) * H198, IF(L198="Level 2", VLOOKUP(I198, UserCodes!E:F, 2, FALSE) * H198 * 0.8, 0))</f>
        <v/>
      </c>
      <c r="K198" t="inlineStr">
        <is>
          <t>Osman, Basra</t>
        </is>
      </c>
      <c r="L198">
        <f>VLOOKUP(K198, UserCodes!A:B, 2, FALSE)</f>
        <v/>
      </c>
    </row>
    <row r="199">
      <c r="A199" t="inlineStr">
        <is>
          <t>Mohamed, Sumaya</t>
        </is>
      </c>
      <c r="B199" s="3" t="n">
        <v>46009</v>
      </c>
      <c r="C199" t="inlineStr">
        <is>
          <t>12:00 PM - 02:00 PM</t>
        </is>
      </c>
      <c r="D199" t="inlineStr">
        <is>
          <t>02:00</t>
        </is>
      </c>
      <c r="E199">
        <f>HOUR(D199)+MINUTE(D199)/100</f>
        <v/>
      </c>
      <c r="F199">
        <f>ROUND(INT(E199) + (E199 - INT(E199)) * 100 / 60, 2)</f>
        <v/>
      </c>
      <c r="G199">
        <f>E199*4</f>
        <v/>
      </c>
      <c r="H199">
        <f>LET(total, INT(E199)*60 + (E199-INT(E199))*100, blocks, QUOTIENT(total, 15), extra, MOD(total, 15), units, blocks + IF(extra&gt;=8, 1, 0), units)</f>
        <v/>
      </c>
      <c r="I199" t="inlineStr">
        <is>
          <t>1/1 
97153</t>
        </is>
      </c>
      <c r="J199">
        <f>IF(L199="Level 1", VLOOKUP(I199, UserCodes!E:F, 2, FALSE) * H199, IF(L199="Level 2", VLOOKUP(I199, UserCodes!E:F, 2, FALSE) * H199 * 0.8, 0))</f>
        <v/>
      </c>
      <c r="K199" t="inlineStr">
        <is>
          <t>Hashi, Ridwan</t>
        </is>
      </c>
      <c r="L199">
        <f>VLOOKUP(K199, UserCodes!A:B, 2, FALSE)</f>
        <v/>
      </c>
    </row>
    <row r="200">
      <c r="A200" t="inlineStr">
        <is>
          <t>Yusuf 2, Khadra</t>
        </is>
      </c>
      <c r="B200" s="3" t="n">
        <v>46009</v>
      </c>
      <c r="C200" t="inlineStr">
        <is>
          <t>01:00 PM - 04:00 PM</t>
        </is>
      </c>
      <c r="D200" t="inlineStr">
        <is>
          <t>03:00</t>
        </is>
      </c>
      <c r="E200">
        <f>HOUR(D200)+MINUTE(D200)/100</f>
        <v/>
      </c>
      <c r="F200">
        <f>ROUND(INT(E200) + (E200 - INT(E200)) * 100 / 60, 2)</f>
        <v/>
      </c>
      <c r="G200">
        <f>E200*4</f>
        <v/>
      </c>
      <c r="H200">
        <f>LET(total, INT(E200)*60 + (E200-INT(E200))*100, blocks, QUOTIENT(total, 15), extra, MOD(total, 15), units, blocks + IF(extra&gt;=8, 1, 0), units)</f>
        <v/>
      </c>
      <c r="I200" t="inlineStr">
        <is>
          <t>O&amp;D 
97155</t>
        </is>
      </c>
      <c r="J200">
        <f>IF(L200="Level 1", VLOOKUP(I200, UserCodes!E:F, 2, FALSE) * H200, IF(L200="Level 2", VLOOKUP(I200, UserCodes!E:F, 2, FALSE) * H200 * 0.8, 0))</f>
        <v/>
      </c>
      <c r="K200" t="inlineStr">
        <is>
          <t>Muse, Ayni</t>
        </is>
      </c>
      <c r="L200">
        <f>VLOOKUP(K200, UserCodes!A:B, 2, FALSE)</f>
        <v/>
      </c>
    </row>
    <row r="201">
      <c r="A201" t="inlineStr">
        <is>
          <t>Abdi, Samira</t>
        </is>
      </c>
      <c r="B201" s="3" t="n">
        <v>46009</v>
      </c>
      <c r="C201" t="inlineStr">
        <is>
          <t>12:55 PM - 03:10 PM</t>
        </is>
      </c>
      <c r="D201" t="inlineStr">
        <is>
          <t>02:15</t>
        </is>
      </c>
      <c r="E201">
        <f>HOUR(D201)+MINUTE(D201)/100</f>
        <v/>
      </c>
      <c r="F201">
        <f>ROUND(INT(E201) + (E201 - INT(E201)) * 100 / 60, 2)</f>
        <v/>
      </c>
      <c r="G201">
        <f>E201*4</f>
        <v/>
      </c>
      <c r="H201">
        <f>LET(total, INT(E201)*60 + (E201-INT(E201))*100, blocks, QUOTIENT(total, 15), extra, MOD(total, 15), units, blocks + IF(extra&gt;=8, 1, 0), units)</f>
        <v/>
      </c>
      <c r="J201">
        <f>IF(L201="Level 1", VLOOKUP(I201, UserCodes!E:F, 2, FALSE) * H201, IF(L201="Level 2", VLOOKUP(I201, UserCodes!E:F, 2, FALSE) * H201 * 0.8, 0))</f>
        <v/>
      </c>
      <c r="K201" t="inlineStr">
        <is>
          <t>Ahmed, Jama</t>
        </is>
      </c>
      <c r="L201">
        <f>VLOOKUP(K201, UserCodes!A:B, 2, FALSE)</f>
        <v/>
      </c>
      <c r="M201" t="inlineStr">
        <is>
          <t>No schedule</t>
        </is>
      </c>
    </row>
    <row r="202">
      <c r="A202" t="inlineStr">
        <is>
          <t>Yusuf 2, Khadra</t>
        </is>
      </c>
      <c r="B202" s="3" t="n">
        <v>46009</v>
      </c>
      <c r="C202" t="inlineStr">
        <is>
          <t>09:35 AM - 11:40 AM</t>
        </is>
      </c>
      <c r="D202" t="inlineStr">
        <is>
          <t>02:05</t>
        </is>
      </c>
      <c r="E202">
        <f>HOUR(D202)+MINUTE(D202)/100</f>
        <v/>
      </c>
      <c r="F202">
        <f>ROUND(INT(E202) + (E202 - INT(E202)) * 100 / 60, 2)</f>
        <v/>
      </c>
      <c r="G202">
        <f>E202*4</f>
        <v/>
      </c>
      <c r="H202">
        <f>LET(total, INT(E202)*60 + (E202-INT(E202))*100, blocks, QUOTIENT(total, 15), extra, MOD(total, 15), units, blocks + IF(extra&gt;=8, 1, 0), units)</f>
        <v/>
      </c>
      <c r="J202">
        <f>IF(L202="Level 1", VLOOKUP(I202, UserCodes!E:F, 2, FALSE) * H202, IF(L202="Level 2", VLOOKUP(I202, UserCodes!E:F, 2, FALSE) * H202 * 0.8, 0))</f>
        <v/>
      </c>
      <c r="K202" t="inlineStr">
        <is>
          <t>Ahmed, Jama</t>
        </is>
      </c>
      <c r="L202">
        <f>VLOOKUP(K202, UserCodes!A:B, 2, FALSE)</f>
        <v/>
      </c>
      <c r="M202" t="inlineStr">
        <is>
          <t>No schedule</t>
        </is>
      </c>
    </row>
    <row r="203">
      <c r="A203" t="inlineStr">
        <is>
          <t>Yusuf, Khadija</t>
        </is>
      </c>
      <c r="B203" s="3" t="n">
        <v>46009</v>
      </c>
      <c r="C203" t="inlineStr">
        <is>
          <t>01:00 PM - 04:00 PM</t>
        </is>
      </c>
      <c r="D203" t="inlineStr">
        <is>
          <t>03:00</t>
        </is>
      </c>
      <c r="E203">
        <f>HOUR(D203)+MINUTE(D203)/100</f>
        <v/>
      </c>
      <c r="F203">
        <f>ROUND(INT(E203) + (E203 - INT(E203)) * 100 / 60, 2)</f>
        <v/>
      </c>
      <c r="G203">
        <f>E203*4</f>
        <v/>
      </c>
      <c r="H203">
        <f>LET(total, INT(E203)*60 + (E203-INT(E203))*100, blocks, QUOTIENT(total, 15), extra, MOD(total, 15), units, blocks + IF(extra&gt;=8, 1, 0), units)</f>
        <v/>
      </c>
      <c r="I203" t="inlineStr">
        <is>
          <t>1/1 
97153</t>
        </is>
      </c>
      <c r="J203">
        <f>IF(L203="Level 1", VLOOKUP(I203, UserCodes!E:F, 2, FALSE) * H203, IF(L203="Level 2", VLOOKUP(I203, UserCodes!E:F, 2, FALSE) * H203 * 0.8, 0))</f>
        <v/>
      </c>
      <c r="K203" t="inlineStr">
        <is>
          <t>Ali, Nasteho</t>
        </is>
      </c>
      <c r="L203">
        <f>VLOOKUP(K203, UserCodes!A:B, 2, FALSE)</f>
        <v/>
      </c>
    </row>
    <row r="204">
      <c r="A204" t="inlineStr">
        <is>
          <t>Abdi, Salman</t>
        </is>
      </c>
      <c r="B204" s="3" t="n">
        <v>46009</v>
      </c>
      <c r="C204" t="inlineStr">
        <is>
          <t>03:15 PM - 08:00 PM</t>
        </is>
      </c>
      <c r="D204" t="inlineStr">
        <is>
          <t>04:45</t>
        </is>
      </c>
      <c r="E204">
        <f>HOUR(D204)+MINUTE(D204)/100</f>
        <v/>
      </c>
      <c r="F204">
        <f>ROUND(INT(E204) + (E204 - INT(E204)) * 100 / 60, 2)</f>
        <v/>
      </c>
      <c r="G204">
        <f>E204*4</f>
        <v/>
      </c>
      <c r="H204">
        <f>LET(total, INT(E204)*60 + (E204-INT(E204))*100, blocks, QUOTIENT(total, 15), extra, MOD(total, 15), units, blocks + IF(extra&gt;=8, 1, 0), units)</f>
        <v/>
      </c>
      <c r="I204" t="inlineStr">
        <is>
          <t>1/1 
97153</t>
        </is>
      </c>
      <c r="J204">
        <f>IF(L204="Level 1", VLOOKUP(I204, UserCodes!E:F, 2, FALSE) * H204, IF(L204="Level 2", VLOOKUP(I204, UserCodes!E:F, 2, FALSE) * H204 * 0.8, 0))</f>
        <v/>
      </c>
      <c r="K204" t="inlineStr">
        <is>
          <t>Mohamed, Mohamed</t>
        </is>
      </c>
      <c r="L204">
        <f>VLOOKUP(K204, UserCodes!A:B, 2, FALSE)</f>
        <v/>
      </c>
    </row>
    <row r="205">
      <c r="A205" t="inlineStr">
        <is>
          <t>Abdi, Salman</t>
        </is>
      </c>
      <c r="B205" s="3" t="n">
        <v>46009</v>
      </c>
      <c r="C205" t="inlineStr">
        <is>
          <t>04:30 PM - 06:30 PM</t>
        </is>
      </c>
      <c r="D205" t="inlineStr">
        <is>
          <t>02:00</t>
        </is>
      </c>
      <c r="E205">
        <f>HOUR(D205)+MINUTE(D205)/100</f>
        <v/>
      </c>
      <c r="F205">
        <f>ROUND(INT(E205) + (E205 - INT(E205)) * 100 / 60, 2)</f>
        <v/>
      </c>
      <c r="G205">
        <f>E205*4</f>
        <v/>
      </c>
      <c r="H205">
        <f>LET(total, INT(E205)*60 + (E205-INT(E205))*100, blocks, QUOTIENT(total, 15), extra, MOD(total, 15), units, blocks + IF(extra&gt;=8, 1, 0), units)</f>
        <v/>
      </c>
      <c r="I205" t="inlineStr">
        <is>
          <t>O&amp;D 
97155</t>
        </is>
      </c>
      <c r="J205">
        <f>IF(L205="Level 1", VLOOKUP(I205, UserCodes!E:F, 2, FALSE) * H205, IF(L205="Level 2", VLOOKUP(I205, UserCodes!E:F, 2, FALSE) * H205 * 0.8, 0))</f>
        <v/>
      </c>
      <c r="K205" t="inlineStr">
        <is>
          <t>Mohamed, Madar</t>
        </is>
      </c>
      <c r="L205">
        <f>VLOOKUP(K205, UserCodes!A:B, 2, FALSE)</f>
        <v/>
      </c>
    </row>
    <row r="206">
      <c r="A206" t="inlineStr">
        <is>
          <t>Yusuf 2, Khadra</t>
        </is>
      </c>
      <c r="B206" s="3" t="n">
        <v>46009</v>
      </c>
      <c r="C206" t="inlineStr">
        <is>
          <t>01:00 PM - 06:00 PM</t>
        </is>
      </c>
      <c r="D206" t="inlineStr">
        <is>
          <t>05:00</t>
        </is>
      </c>
      <c r="E206">
        <f>HOUR(D206)+MINUTE(D206)/100</f>
        <v/>
      </c>
      <c r="F206">
        <f>ROUND(INT(E206) + (E206 - INT(E206)) * 100 / 60, 2)</f>
        <v/>
      </c>
      <c r="G206">
        <f>E206*4</f>
        <v/>
      </c>
      <c r="H206">
        <f>LET(total, INT(E206)*60 + (E206-INT(E206))*100, blocks, QUOTIENT(total, 15), extra, MOD(total, 15), units, blocks + IF(extra&gt;=8, 1, 0), units)</f>
        <v/>
      </c>
      <c r="I206" t="inlineStr">
        <is>
          <t>1/1 
97153</t>
        </is>
      </c>
      <c r="J206">
        <f>IF(L206="Level 1", VLOOKUP(I206, UserCodes!E:F, 2, FALSE) * H206, IF(L206="Level 2", VLOOKUP(I206, UserCodes!E:F, 2, FALSE) * H206 * 0.8, 0))</f>
        <v/>
      </c>
      <c r="K206" t="inlineStr">
        <is>
          <t>Ali, Naima</t>
        </is>
      </c>
      <c r="L206">
        <f>VLOOKUP(K206, UserCodes!A:B, 2, FALSE)</f>
        <v/>
      </c>
    </row>
    <row r="207">
      <c r="A207" t="inlineStr">
        <is>
          <t>Abdi, Safia</t>
        </is>
      </c>
      <c r="B207" s="3" t="n">
        <v>46009</v>
      </c>
      <c r="C207" t="inlineStr">
        <is>
          <t>03:30 PM - 08:00 PM</t>
        </is>
      </c>
      <c r="D207" t="inlineStr">
        <is>
          <t>04:30</t>
        </is>
      </c>
      <c r="E207">
        <f>HOUR(D207)+MINUTE(D207)/100</f>
        <v/>
      </c>
      <c r="F207">
        <f>ROUND(INT(E207) + (E207 - INT(E207)) * 100 / 60, 2)</f>
        <v/>
      </c>
      <c r="G207">
        <f>E207*4</f>
        <v/>
      </c>
      <c r="H207">
        <f>LET(total, INT(E207)*60 + (E207-INT(E207))*100, blocks, QUOTIENT(total, 15), extra, MOD(total, 15), units, blocks + IF(extra&gt;=8, 1, 0), units)</f>
        <v/>
      </c>
      <c r="I207" t="inlineStr">
        <is>
          <t>1/1 
97153</t>
        </is>
      </c>
      <c r="J207">
        <f>IF(L207="Level 1", VLOOKUP(I207, UserCodes!E:F, 2, FALSE) * H207, IF(L207="Level 2", VLOOKUP(I207, UserCodes!E:F, 2, FALSE) * H207 * 0.8, 0))</f>
        <v/>
      </c>
      <c r="K207" t="inlineStr">
        <is>
          <t>Mohamed, Samsam</t>
        </is>
      </c>
      <c r="L207">
        <f>VLOOKUP(K207, UserCodes!A:B, 2, FALSE)</f>
        <v/>
      </c>
    </row>
    <row r="208">
      <c r="A208" t="inlineStr">
        <is>
          <t>Jama, Khadija</t>
        </is>
      </c>
      <c r="B208" s="3" t="n">
        <v>46009</v>
      </c>
      <c r="C208" t="inlineStr">
        <is>
          <t>03:30 PM - 07:45 PM</t>
        </is>
      </c>
      <c r="D208" t="inlineStr">
        <is>
          <t>04:15</t>
        </is>
      </c>
      <c r="E208">
        <f>HOUR(D208)+MINUTE(D208)/100</f>
        <v/>
      </c>
      <c r="F208">
        <f>ROUND(INT(E208) + (E208 - INT(E208)) * 100 / 60, 2)</f>
        <v/>
      </c>
      <c r="G208">
        <f>E208*4</f>
        <v/>
      </c>
      <c r="H208">
        <f>LET(total, INT(E208)*60 + (E208-INT(E208))*100, blocks, QUOTIENT(total, 15), extra, MOD(total, 15), units, blocks + IF(extra&gt;=8, 1, 0), units)</f>
        <v/>
      </c>
      <c r="I208" t="inlineStr">
        <is>
          <t>1/1 
97153</t>
        </is>
      </c>
      <c r="J208">
        <f>IF(L208="Level 1", VLOOKUP(I208, UserCodes!E:F, 2, FALSE) * H208, IF(L208="Level 2", VLOOKUP(I208, UserCodes!E:F, 2, FALSE) * H208 * 0.8, 0))</f>
        <v/>
      </c>
      <c r="K208" t="inlineStr">
        <is>
          <t>ALI, AMIRA</t>
        </is>
      </c>
      <c r="L208">
        <f>VLOOKUP(K208, UserCodes!A:B, 2, FALSE)</f>
        <v/>
      </c>
    </row>
    <row r="209">
      <c r="A209" t="inlineStr">
        <is>
          <t>Abdi, Ahmed</t>
        </is>
      </c>
      <c r="B209" s="3" t="n">
        <v>46009</v>
      </c>
      <c r="C209" t="inlineStr">
        <is>
          <t>03:00 PM - 06:00 PM</t>
        </is>
      </c>
      <c r="D209" t="inlineStr">
        <is>
          <t>03:00</t>
        </is>
      </c>
      <c r="E209">
        <f>HOUR(D209)+MINUTE(D209)/100</f>
        <v/>
      </c>
      <c r="F209">
        <f>ROUND(INT(E209) + (E209 - INT(E209)) * 100 / 60, 2)</f>
        <v/>
      </c>
      <c r="G209">
        <f>E209*4</f>
        <v/>
      </c>
      <c r="H209">
        <f>LET(total, INT(E209)*60 + (E209-INT(E209))*100, blocks, QUOTIENT(total, 15), extra, MOD(total, 15), units, blocks + IF(extra&gt;=8, 1, 0), units)</f>
        <v/>
      </c>
      <c r="I209" t="inlineStr">
        <is>
          <t>O&amp;D 
97155</t>
        </is>
      </c>
      <c r="J209">
        <f>IF(L209="Level 1", VLOOKUP(I209, UserCodes!E:F, 2, FALSE) * H209, IF(L209="Level 2", VLOOKUP(I209, UserCodes!E:F, 2, FALSE) * H209 * 0.8, 0))</f>
        <v/>
      </c>
      <c r="K209" t="inlineStr">
        <is>
          <t>Muse, Adna</t>
        </is>
      </c>
      <c r="L209">
        <f>VLOOKUP(K209, UserCodes!A:B, 2, FALSE)</f>
        <v/>
      </c>
    </row>
    <row r="210">
      <c r="A210" t="inlineStr">
        <is>
          <t>Yusuf, Khadija</t>
        </is>
      </c>
      <c r="B210" s="3" t="n">
        <v>46009</v>
      </c>
      <c r="C210" t="inlineStr">
        <is>
          <t>01:00 PM - 04:00 PM</t>
        </is>
      </c>
      <c r="D210" t="inlineStr">
        <is>
          <t>03:00</t>
        </is>
      </c>
      <c r="E210">
        <f>HOUR(D210)+MINUTE(D210)/100</f>
        <v/>
      </c>
      <c r="F210">
        <f>ROUND(INT(E210) + (E210 - INT(E210)) * 100 / 60, 2)</f>
        <v/>
      </c>
      <c r="G210">
        <f>E210*4</f>
        <v/>
      </c>
      <c r="H210">
        <f>LET(total, INT(E210)*60 + (E210-INT(E210))*100, blocks, QUOTIENT(total, 15), extra, MOD(total, 15), units, blocks + IF(extra&gt;=8, 1, 0), units)</f>
        <v/>
      </c>
      <c r="I210" t="inlineStr">
        <is>
          <t>1/1 
97153</t>
        </is>
      </c>
      <c r="J210">
        <f>IF(L210="Level 1", VLOOKUP(I210, UserCodes!E:F, 2, FALSE) * H210, IF(L210="Level 2", VLOOKUP(I210, UserCodes!E:F, 2, FALSE) * H210 * 0.8, 0))</f>
        <v/>
      </c>
      <c r="K210" t="inlineStr">
        <is>
          <t>Noor, Kamilo</t>
        </is>
      </c>
      <c r="L210">
        <f>VLOOKUP(K210, UserCodes!A:B, 2, FALSE)</f>
        <v/>
      </c>
    </row>
    <row r="211">
      <c r="A211" t="inlineStr">
        <is>
          <t>Jama, Khadija</t>
        </is>
      </c>
      <c r="B211" s="3" t="n">
        <v>46009</v>
      </c>
      <c r="C211" t="inlineStr">
        <is>
          <t>06:00 PM - 07:45 PM</t>
        </is>
      </c>
      <c r="D211" t="inlineStr">
        <is>
          <t>01:45</t>
        </is>
      </c>
      <c r="E211">
        <f>HOUR(D211)+MINUTE(D211)/100</f>
        <v/>
      </c>
      <c r="F211">
        <f>ROUND(INT(E211) + (E211 - INT(E211)) * 100 / 60, 2)</f>
        <v/>
      </c>
      <c r="G211">
        <f>E211*4</f>
        <v/>
      </c>
      <c r="H211">
        <f>LET(total, INT(E211)*60 + (E211-INT(E211))*100, blocks, QUOTIENT(total, 15), extra, MOD(total, 15), units, blocks + IF(extra&gt;=8, 1, 0), units)</f>
        <v/>
      </c>
      <c r="I211" t="inlineStr">
        <is>
          <t>O&amp;D 
97155</t>
        </is>
      </c>
      <c r="J211">
        <f>IF(L211="Level 1", VLOOKUP(I211, UserCodes!E:F, 2, FALSE) * H211, IF(L211="Level 2", VLOOKUP(I211, UserCodes!E:F, 2, FALSE) * H211 * 0.8, 0))</f>
        <v/>
      </c>
      <c r="K211" t="inlineStr">
        <is>
          <t>Noor, Kamilo</t>
        </is>
      </c>
      <c r="L211">
        <f>VLOOKUP(K211, UserCodes!A:B, 2, FALSE)</f>
        <v/>
      </c>
    </row>
    <row r="212">
      <c r="A212" t="inlineStr">
        <is>
          <t>Kadir, Hamdi</t>
        </is>
      </c>
      <c r="B212" s="3" t="n">
        <v>46009</v>
      </c>
      <c r="C212" t="inlineStr">
        <is>
          <t>02:00 PM - 03:00 PM</t>
        </is>
      </c>
      <c r="D212" t="inlineStr">
        <is>
          <t>01:00</t>
        </is>
      </c>
      <c r="E212">
        <f>HOUR(D212)+MINUTE(D212)/100</f>
        <v/>
      </c>
      <c r="F212">
        <f>ROUND(INT(E212) + (E212 - INT(E212)) * 100 / 60, 2)</f>
        <v/>
      </c>
      <c r="G212">
        <f>E212*4</f>
        <v/>
      </c>
      <c r="H212">
        <f>LET(total, INT(E212)*60 + (E212-INT(E212))*100, blocks, QUOTIENT(total, 15), extra, MOD(total, 15), units, blocks + IF(extra&gt;=8, 1, 0), units)</f>
        <v/>
      </c>
      <c r="I212" t="inlineStr">
        <is>
          <t>O&amp;D 
97155</t>
        </is>
      </c>
      <c r="J212">
        <f>IF(L212="Level 1", VLOOKUP(I212, UserCodes!E:F, 2, FALSE) * H212, IF(L212="Level 2", VLOOKUP(I212, UserCodes!E:F, 2, FALSE) * H212 * 0.8, 0))</f>
        <v/>
      </c>
      <c r="K212" t="inlineStr">
        <is>
          <t>Osman, Basra</t>
        </is>
      </c>
      <c r="L212">
        <f>VLOOKUP(K212, UserCodes!A:B, 2, FALSE)</f>
        <v/>
      </c>
    </row>
    <row r="213">
      <c r="A213" t="inlineStr">
        <is>
          <t>Kadir, Hamdi</t>
        </is>
      </c>
      <c r="B213" s="3" t="n">
        <v>46009</v>
      </c>
      <c r="C213" t="inlineStr">
        <is>
          <t>02:00 PM - 08:00 PM</t>
        </is>
      </c>
      <c r="D213" t="inlineStr">
        <is>
          <t>06:00</t>
        </is>
      </c>
      <c r="E213">
        <f>HOUR(D213)+MINUTE(D213)/100</f>
        <v/>
      </c>
      <c r="F213">
        <f>ROUND(INT(E213) + (E213 - INT(E213)) * 100 / 60, 2)</f>
        <v/>
      </c>
      <c r="G213">
        <f>E213*4</f>
        <v/>
      </c>
      <c r="H213">
        <f>LET(total, INT(E213)*60 + (E213-INT(E213))*100, blocks, QUOTIENT(total, 15), extra, MOD(total, 15), units, blocks + IF(extra&gt;=8, 1, 0), units)</f>
        <v/>
      </c>
      <c r="I213" t="inlineStr">
        <is>
          <t>1/1 
97153</t>
        </is>
      </c>
      <c r="J213">
        <f>IF(L213="Level 1", VLOOKUP(I213, UserCodes!E:F, 2, FALSE) * H213, IF(L213="Level 2", VLOOKUP(I213, UserCodes!E:F, 2, FALSE) * H213 * 0.8, 0))</f>
        <v/>
      </c>
      <c r="K213" t="inlineStr">
        <is>
          <t>Muse, Nawaal</t>
        </is>
      </c>
      <c r="L213">
        <f>VLOOKUP(K213, UserCodes!A:B, 2, FALSE)</f>
        <v/>
      </c>
    </row>
    <row r="214">
      <c r="A214" t="inlineStr">
        <is>
          <t>Abdi, Samira</t>
        </is>
      </c>
      <c r="B214" s="3" t="n">
        <v>46009</v>
      </c>
      <c r="C214" t="inlineStr">
        <is>
          <t>05:00 PM - 08:00 PM</t>
        </is>
      </c>
      <c r="D214" t="inlineStr">
        <is>
          <t>03:00</t>
        </is>
      </c>
      <c r="E214">
        <f>HOUR(D214)+MINUTE(D214)/100</f>
        <v/>
      </c>
      <c r="F214">
        <f>ROUND(INT(E214) + (E214 - INT(E214)) * 100 / 60, 2)</f>
        <v/>
      </c>
      <c r="G214">
        <f>E214*4</f>
        <v/>
      </c>
      <c r="H214">
        <f>LET(total, INT(E214)*60 + (E214-INT(E214))*100, blocks, QUOTIENT(total, 15), extra, MOD(total, 15), units, blocks + IF(extra&gt;=8, 1, 0), units)</f>
        <v/>
      </c>
      <c r="I214" t="inlineStr">
        <is>
          <t>1/1 
97153</t>
        </is>
      </c>
      <c r="J214">
        <f>IF(L214="Level 1", VLOOKUP(I214, UserCodes!E:F, 2, FALSE) * H214, IF(L214="Level 2", VLOOKUP(I214, UserCodes!E:F, 2, FALSE) * H214 * 0.8, 0))</f>
        <v/>
      </c>
      <c r="K214" t="inlineStr">
        <is>
          <t>Omar, Mohamed</t>
        </is>
      </c>
      <c r="L214">
        <f>VLOOKUP(K214, UserCodes!A:B, 2, FALSE)</f>
        <v/>
      </c>
    </row>
    <row r="215">
      <c r="A215" t="inlineStr">
        <is>
          <t>Abdi, Ahmed</t>
        </is>
      </c>
      <c r="B215" s="3" t="n">
        <v>46009</v>
      </c>
      <c r="C215" t="inlineStr">
        <is>
          <t>03:00 PM - 08:00 PM</t>
        </is>
      </c>
      <c r="D215" t="inlineStr">
        <is>
          <t>05:00</t>
        </is>
      </c>
      <c r="E215">
        <f>HOUR(D215)+MINUTE(D215)/100</f>
        <v/>
      </c>
      <c r="F215">
        <f>ROUND(INT(E215) + (E215 - INT(E215)) * 100 / 60, 2)</f>
        <v/>
      </c>
      <c r="G215">
        <f>E215*4</f>
        <v/>
      </c>
      <c r="H215">
        <f>LET(total, INT(E215)*60 + (E215-INT(E215))*100, blocks, QUOTIENT(total, 15), extra, MOD(total, 15), units, blocks + IF(extra&gt;=8, 1, 0), units)</f>
        <v/>
      </c>
      <c r="I215" t="inlineStr">
        <is>
          <t>1/1 
97153</t>
        </is>
      </c>
      <c r="J215">
        <f>IF(L215="Level 1", VLOOKUP(I215, UserCodes!E:F, 2, FALSE) * H215, IF(L215="Level 2", VLOOKUP(I215, UserCodes!E:F, 2, FALSE) * H215 * 0.8, 0))</f>
        <v/>
      </c>
      <c r="K215" t="inlineStr">
        <is>
          <t>Ibrahim, Ahmed</t>
        </is>
      </c>
      <c r="L215">
        <f>VLOOKUP(K215, UserCodes!A:B, 2, FALSE)</f>
        <v/>
      </c>
    </row>
    <row r="216">
      <c r="A216" t="inlineStr">
        <is>
          <t>Abdi, Safia</t>
        </is>
      </c>
      <c r="B216" s="3" t="n">
        <v>46009</v>
      </c>
      <c r="C216" t="inlineStr">
        <is>
          <t>06:00 PM - 08:00 PM</t>
        </is>
      </c>
      <c r="D216" t="inlineStr">
        <is>
          <t>02:00</t>
        </is>
      </c>
      <c r="E216">
        <f>HOUR(D216)+MINUTE(D216)/100</f>
        <v/>
      </c>
      <c r="F216">
        <f>ROUND(INT(E216) + (E216 - INT(E216)) * 100 / 60, 2)</f>
        <v/>
      </c>
      <c r="G216">
        <f>E216*4</f>
        <v/>
      </c>
      <c r="H216">
        <f>LET(total, INT(E216)*60 + (E216-INT(E216))*100, blocks, QUOTIENT(total, 15), extra, MOD(total, 15), units, blocks + IF(extra&gt;=8, 1, 0), units)</f>
        <v/>
      </c>
      <c r="I216" t="inlineStr">
        <is>
          <t>O&amp;D 
97155</t>
        </is>
      </c>
      <c r="J216">
        <f>IF(L216="Level 1", VLOOKUP(I216, UserCodes!E:F, 2, FALSE) * H216, IF(L216="Level 2", VLOOKUP(I216, UserCodes!E:F, 2, FALSE) * H216 * 0.8, 0))</f>
        <v/>
      </c>
      <c r="K216" t="inlineStr">
        <is>
          <t>Muse, Adna</t>
        </is>
      </c>
      <c r="L216">
        <f>VLOOKUP(K216, UserCodes!A:B, 2, FALSE)</f>
        <v/>
      </c>
    </row>
    <row r="217">
      <c r="A217" t="inlineStr">
        <is>
          <t>Abdi, Samira</t>
        </is>
      </c>
      <c r="B217" s="3" t="n">
        <v>46010</v>
      </c>
      <c r="C217" t="inlineStr">
        <is>
          <t>04:00 PM - 08:00 PM</t>
        </is>
      </c>
      <c r="D217" t="inlineStr">
        <is>
          <t>04:00</t>
        </is>
      </c>
      <c r="E217">
        <f>HOUR(D217)+MINUTE(D217)/100</f>
        <v/>
      </c>
      <c r="F217">
        <f>ROUND(INT(E217) + (E217 - INT(E217)) * 100 / 60, 2)</f>
        <v/>
      </c>
      <c r="G217">
        <f>E217*4</f>
        <v/>
      </c>
      <c r="H217">
        <f>LET(total, INT(E217)*60 + (E217-INT(E217))*100, blocks, QUOTIENT(total, 15), extra, MOD(total, 15), units, blocks + IF(extra&gt;=8, 1, 0), units)</f>
        <v/>
      </c>
      <c r="I217" t="inlineStr">
        <is>
          <t>1/1 
97153</t>
        </is>
      </c>
      <c r="J217">
        <f>IF(L217="Level 1", VLOOKUP(I217, UserCodes!E:F, 2, FALSE) * H217, IF(L217="Level 2", VLOOKUP(I217, UserCodes!E:F, 2, FALSE) * H217 * 0.8, 0))</f>
        <v/>
      </c>
      <c r="K217" t="inlineStr">
        <is>
          <t>Muse, Adna</t>
        </is>
      </c>
      <c r="L217">
        <f>VLOOKUP(K217, UserCodes!A:B, 2, FALSE)</f>
        <v/>
      </c>
    </row>
    <row r="218">
      <c r="A218" t="inlineStr">
        <is>
          <t>Abdulkadir, Nadra</t>
        </is>
      </c>
      <c r="B218" s="3" t="n">
        <v>46010</v>
      </c>
      <c r="C218" t="inlineStr">
        <is>
          <t>01:30 PM - 04:00 PM</t>
        </is>
      </c>
      <c r="D218" t="inlineStr">
        <is>
          <t>02:30</t>
        </is>
      </c>
      <c r="E218">
        <f>HOUR(D218)+MINUTE(D218)/100</f>
        <v/>
      </c>
      <c r="F218">
        <f>ROUND(INT(E218) + (E218 - INT(E218)) * 100 / 60, 2)</f>
        <v/>
      </c>
      <c r="G218">
        <f>E218*4</f>
        <v/>
      </c>
      <c r="H218">
        <f>LET(total, INT(E218)*60 + (E218-INT(E218))*100, blocks, QUOTIENT(total, 15), extra, MOD(total, 15), units, blocks + IF(extra&gt;=8, 1, 0), units)</f>
        <v/>
      </c>
      <c r="I218" t="inlineStr">
        <is>
          <t>O&amp;D 
97155</t>
        </is>
      </c>
      <c r="J218">
        <f>IF(L218="Level 1", VLOOKUP(I218, UserCodes!E:F, 2, FALSE) * H218, IF(L218="Level 2", VLOOKUP(I218, UserCodes!E:F, 2, FALSE) * H218 * 0.8, 0))</f>
        <v/>
      </c>
      <c r="K218" t="inlineStr">
        <is>
          <t>Mohamed, Madar</t>
        </is>
      </c>
      <c r="L218">
        <f>VLOOKUP(K218, UserCodes!A:B, 2, FALSE)</f>
        <v/>
      </c>
    </row>
    <row r="219">
      <c r="A219" t="inlineStr">
        <is>
          <t>Sulub, Sharmake</t>
        </is>
      </c>
      <c r="B219" s="3" t="n">
        <v>46010</v>
      </c>
      <c r="C219" t="inlineStr">
        <is>
          <t>04:00 PM - 08:00 PM</t>
        </is>
      </c>
      <c r="D219" t="inlineStr">
        <is>
          <t>04:00</t>
        </is>
      </c>
      <c r="E219">
        <f>HOUR(D219)+MINUTE(D219)/100</f>
        <v/>
      </c>
      <c r="F219">
        <f>ROUND(INT(E219) + (E219 - INT(E219)) * 100 / 60, 2)</f>
        <v/>
      </c>
      <c r="G219">
        <f>E219*4</f>
        <v/>
      </c>
      <c r="H219">
        <f>LET(total, INT(E219)*60 + (E219-INT(E219))*100, blocks, QUOTIENT(total, 15), extra, MOD(total, 15), units, blocks + IF(extra&gt;=8, 1, 0), units)</f>
        <v/>
      </c>
      <c r="I219" t="inlineStr">
        <is>
          <t>1/1 
97153</t>
        </is>
      </c>
      <c r="J219">
        <f>IF(L219="Level 1", VLOOKUP(I219, UserCodes!E:F, 2, FALSE) * H219, IF(L219="Level 2", VLOOKUP(I219, UserCodes!E:F, 2, FALSE) * H219 * 0.8, 0))</f>
        <v/>
      </c>
      <c r="K219" t="inlineStr">
        <is>
          <t>Ali, Nasteho</t>
        </is>
      </c>
      <c r="L219">
        <f>VLOOKUP(K219, UserCodes!A:B, 2, FALSE)</f>
        <v/>
      </c>
    </row>
    <row r="220">
      <c r="A220" t="inlineStr">
        <is>
          <t>Abdi, Safia</t>
        </is>
      </c>
      <c r="B220" s="3" t="n">
        <v>46010</v>
      </c>
      <c r="C220" t="inlineStr">
        <is>
          <t>06:30 PM - 08:00 PM</t>
        </is>
      </c>
      <c r="D220" t="inlineStr">
        <is>
          <t>01:30</t>
        </is>
      </c>
      <c r="E220">
        <f>HOUR(D220)+MINUTE(D220)/100</f>
        <v/>
      </c>
      <c r="F220">
        <f>ROUND(INT(E220) + (E220 - INT(E220)) * 100 / 60, 2)</f>
        <v/>
      </c>
      <c r="G220">
        <f>E220*4</f>
        <v/>
      </c>
      <c r="H220">
        <f>LET(total, INT(E220)*60 + (E220-INT(E220))*100, blocks, QUOTIENT(total, 15), extra, MOD(total, 15), units, blocks + IF(extra&gt;=8, 1, 0), units)</f>
        <v/>
      </c>
      <c r="I220" t="inlineStr">
        <is>
          <t>O&amp;D 
97155</t>
        </is>
      </c>
      <c r="J220">
        <f>IF(L220="Level 1", VLOOKUP(I220, UserCodes!E:F, 2, FALSE) * H220, IF(L220="Level 2", VLOOKUP(I220, UserCodes!E:F, 2, FALSE) * H220 * 0.8, 0))</f>
        <v/>
      </c>
      <c r="K220" t="inlineStr">
        <is>
          <t>Muse, Ayni</t>
        </is>
      </c>
      <c r="L220">
        <f>VLOOKUP(K220, UserCodes!A:B, 2, FALSE)</f>
        <v/>
      </c>
    </row>
    <row r="221">
      <c r="A221" t="inlineStr">
        <is>
          <t>Abdi, Ahmed</t>
        </is>
      </c>
      <c r="B221" s="3" t="n">
        <v>46010</v>
      </c>
      <c r="C221" t="inlineStr">
        <is>
          <t>03:00 PM - 08:00 PM</t>
        </is>
      </c>
      <c r="D221" t="inlineStr">
        <is>
          <t>05:00</t>
        </is>
      </c>
      <c r="E221">
        <f>HOUR(D221)+MINUTE(D221)/100</f>
        <v/>
      </c>
      <c r="F221">
        <f>ROUND(INT(E221) + (E221 - INT(E221)) * 100 / 60, 2)</f>
        <v/>
      </c>
      <c r="G221">
        <f>E221*4</f>
        <v/>
      </c>
      <c r="H221">
        <f>LET(total, INT(E221)*60 + (E221-INT(E221))*100, blocks, QUOTIENT(total, 15), extra, MOD(total, 15), units, blocks + IF(extra&gt;=8, 1, 0), units)</f>
        <v/>
      </c>
      <c r="I221" t="inlineStr">
        <is>
          <t>1/1 
97153</t>
        </is>
      </c>
      <c r="J221">
        <f>IF(L221="Level 1", VLOOKUP(I221, UserCodes!E:F, 2, FALSE) * H221, IF(L221="Level 2", VLOOKUP(I221, UserCodes!E:F, 2, FALSE) * H221 * 0.8, 0))</f>
        <v/>
      </c>
      <c r="K221" t="inlineStr">
        <is>
          <t>Ibrahim, Ahmed</t>
        </is>
      </c>
      <c r="L221">
        <f>VLOOKUP(K221, UserCodes!A:B, 2, FALSE)</f>
        <v/>
      </c>
    </row>
    <row r="222">
      <c r="A222" t="inlineStr">
        <is>
          <t>Abdulkadir, Nadra</t>
        </is>
      </c>
      <c r="B222" s="3" t="n">
        <v>46010</v>
      </c>
      <c r="C222" t="inlineStr">
        <is>
          <t>01:30 PM - 04:00 PM</t>
        </is>
      </c>
      <c r="D222" t="inlineStr">
        <is>
          <t>02:30</t>
        </is>
      </c>
      <c r="E222">
        <f>HOUR(D222)+MINUTE(D222)/100</f>
        <v/>
      </c>
      <c r="F222">
        <f>ROUND(INT(E222) + (E222 - INT(E222)) * 100 / 60, 2)</f>
        <v/>
      </c>
      <c r="G222">
        <f>E222*4</f>
        <v/>
      </c>
      <c r="H222">
        <f>LET(total, INT(E222)*60 + (E222-INT(E222))*100, blocks, QUOTIENT(total, 15), extra, MOD(total, 15), units, blocks + IF(extra&gt;=8, 1, 0), units)</f>
        <v/>
      </c>
      <c r="I222" t="inlineStr">
        <is>
          <t>1/1 
97153</t>
        </is>
      </c>
      <c r="J222">
        <f>IF(L222="Level 1", VLOOKUP(I222, UserCodes!E:F, 2, FALSE) * H222, IF(L222="Level 2", VLOOKUP(I222, UserCodes!E:F, 2, FALSE) * H222 * 0.8, 0))</f>
        <v/>
      </c>
      <c r="K222" t="inlineStr">
        <is>
          <t>Ali, Nasteho</t>
        </is>
      </c>
      <c r="L222">
        <f>VLOOKUP(K222, UserCodes!A:B, 2, FALSE)</f>
        <v/>
      </c>
    </row>
    <row r="223">
      <c r="A223" t="inlineStr">
        <is>
          <t>Abdulkadir, Nadra</t>
        </is>
      </c>
      <c r="B223" s="3" t="n">
        <v>46010</v>
      </c>
      <c r="C223" t="inlineStr">
        <is>
          <t>04:00 PM - 06:30 PM</t>
        </is>
      </c>
      <c r="D223" t="inlineStr">
        <is>
          <t>02:30</t>
        </is>
      </c>
      <c r="E223">
        <f>HOUR(D223)+MINUTE(D223)/100</f>
        <v/>
      </c>
      <c r="F223">
        <f>ROUND(INT(E223) + (E223 - INT(E223)) * 100 / 60, 2)</f>
        <v/>
      </c>
      <c r="G223">
        <f>E223*4</f>
        <v/>
      </c>
      <c r="H223">
        <f>LET(total, INT(E223)*60 + (E223-INT(E223))*100, blocks, QUOTIENT(total, 15), extra, MOD(total, 15), units, blocks + IF(extra&gt;=8, 1, 0), units)</f>
        <v/>
      </c>
      <c r="I223" t="inlineStr">
        <is>
          <t>1/1 
97153</t>
        </is>
      </c>
      <c r="J223">
        <f>IF(L223="Level 1", VLOOKUP(I223, UserCodes!E:F, 2, FALSE) * H223, IF(L223="Level 2", VLOOKUP(I223, UserCodes!E:F, 2, FALSE) * H223 * 0.8, 0))</f>
        <v/>
      </c>
      <c r="K223" t="inlineStr">
        <is>
          <t>Muse, Ayni</t>
        </is>
      </c>
      <c r="L223">
        <f>VLOOKUP(K223, UserCodes!A:B, 2, FALSE)</f>
        <v/>
      </c>
    </row>
    <row r="224">
      <c r="A224" t="inlineStr">
        <is>
          <t>Abdi, Safia</t>
        </is>
      </c>
      <c r="B224" s="3" t="n">
        <v>46010</v>
      </c>
      <c r="C224" t="inlineStr">
        <is>
          <t>03:15 PM - 08:00 PM</t>
        </is>
      </c>
      <c r="D224" t="inlineStr">
        <is>
          <t>04:45</t>
        </is>
      </c>
      <c r="E224">
        <f>HOUR(D224)+MINUTE(D224)/100</f>
        <v/>
      </c>
      <c r="F224">
        <f>ROUND(INT(E224) + (E224 - INT(E224)) * 100 / 60, 2)</f>
        <v/>
      </c>
      <c r="G224">
        <f>E224*4</f>
        <v/>
      </c>
      <c r="H224">
        <f>LET(total, INT(E224)*60 + (E224-INT(E224))*100, blocks, QUOTIENT(total, 15), extra, MOD(total, 15), units, blocks + IF(extra&gt;=8, 1, 0), units)</f>
        <v/>
      </c>
      <c r="I224" t="inlineStr">
        <is>
          <t>1/1 
97153</t>
        </is>
      </c>
      <c r="J224">
        <f>IF(L224="Level 1", VLOOKUP(I224, UserCodes!E:F, 2, FALSE) * H224, IF(L224="Level 2", VLOOKUP(I224, UserCodes!E:F, 2, FALSE) * H224 * 0.8, 0))</f>
        <v/>
      </c>
      <c r="K224" t="inlineStr">
        <is>
          <t>Mohamed, Mohamed</t>
        </is>
      </c>
      <c r="L224">
        <f>VLOOKUP(K224, UserCodes!A:B, 2, FALSE)</f>
        <v/>
      </c>
    </row>
    <row r="225">
      <c r="A225" t="inlineStr">
        <is>
          <t>Abdulkadir, Nadra</t>
        </is>
      </c>
      <c r="B225" s="3" t="n">
        <v>46010</v>
      </c>
      <c r="C225" t="inlineStr">
        <is>
          <t>04:00 PM - 04:30 PM</t>
        </is>
      </c>
      <c r="D225" t="inlineStr">
        <is>
          <t>00:30</t>
        </is>
      </c>
      <c r="E225">
        <f>HOUR(D225)+MINUTE(D225)/100</f>
        <v/>
      </c>
      <c r="F225">
        <f>ROUND(INT(E225) + (E225 - INT(E225)) * 100 / 60, 2)</f>
        <v/>
      </c>
      <c r="G225">
        <f>E225*4</f>
        <v/>
      </c>
      <c r="H225">
        <f>LET(total, INT(E225)*60 + (E225-INT(E225))*100, blocks, QUOTIENT(total, 15), extra, MOD(total, 15), units, blocks + IF(extra&gt;=8, 1, 0), units)</f>
        <v/>
      </c>
      <c r="I225" t="inlineStr">
        <is>
          <t>O&amp;D 
97155</t>
        </is>
      </c>
      <c r="J225">
        <f>IF(L225="Level 1", VLOOKUP(I225, UserCodes!E:F, 2, FALSE) * H225, IF(L225="Level 2", VLOOKUP(I225, UserCodes!E:F, 2, FALSE) * H225 * 0.8, 0))</f>
        <v/>
      </c>
      <c r="K225" t="inlineStr">
        <is>
          <t>Mohamed, Madar</t>
        </is>
      </c>
      <c r="L225">
        <f>VLOOKUP(K225, UserCodes!A:B, 2, FALSE)</f>
        <v/>
      </c>
    </row>
    <row r="226">
      <c r="A226" t="inlineStr">
        <is>
          <t>Abdi, Mohamed</t>
        </is>
      </c>
      <c r="B226" s="3" t="n">
        <v>46010</v>
      </c>
      <c r="C226" t="inlineStr">
        <is>
          <t>03:20 PM - 08:00 PM</t>
        </is>
      </c>
      <c r="D226" t="inlineStr">
        <is>
          <t>04:40</t>
        </is>
      </c>
      <c r="E226">
        <f>HOUR(D226)+MINUTE(D226)/100</f>
        <v/>
      </c>
      <c r="F226">
        <f>ROUND(INT(E226) + (E226 - INT(E226)) * 100 / 60, 2)</f>
        <v/>
      </c>
      <c r="G226">
        <f>E226*4</f>
        <v/>
      </c>
      <c r="H226">
        <f>LET(total, INT(E226)*60 + (E226-INT(E226))*100, blocks, QUOTIENT(total, 15), extra, MOD(total, 15), units, blocks + IF(extra&gt;=8, 1, 0), units)</f>
        <v/>
      </c>
      <c r="I226" t="inlineStr">
        <is>
          <t>1/1 
97153</t>
        </is>
      </c>
      <c r="J226">
        <f>IF(L226="Level 1", VLOOKUP(I226, UserCodes!E:F, 2, FALSE) * H226, IF(L226="Level 2", VLOOKUP(I226, UserCodes!E:F, 2, FALSE) * H226 * 0.8, 0))</f>
        <v/>
      </c>
      <c r="K226" t="inlineStr">
        <is>
          <t>Mohamed, Samsam</t>
        </is>
      </c>
      <c r="L226">
        <f>VLOOKUP(K226, UserCodes!A:B, 2, FALSE)</f>
        <v/>
      </c>
    </row>
    <row r="227">
      <c r="A227" t="inlineStr">
        <is>
          <t>Ali, Saami</t>
        </is>
      </c>
      <c r="B227" s="3" t="n">
        <v>46010</v>
      </c>
      <c r="C227" t="inlineStr">
        <is>
          <t>03:30 PM - 07:40 PM</t>
        </is>
      </c>
      <c r="D227" t="inlineStr">
        <is>
          <t>04:10</t>
        </is>
      </c>
      <c r="E227">
        <f>HOUR(D227)+MINUTE(D227)/100</f>
        <v/>
      </c>
      <c r="F227">
        <f>ROUND(INT(E227) + (E227 - INT(E227)) * 100 / 60, 2)</f>
        <v/>
      </c>
      <c r="G227">
        <f>E227*4</f>
        <v/>
      </c>
      <c r="H227">
        <f>LET(total, INT(E227)*60 + (E227-INT(E227))*100, blocks, QUOTIENT(total, 15), extra, MOD(total, 15), units, blocks + IF(extra&gt;=8, 1, 0), units)</f>
        <v/>
      </c>
      <c r="I227" t="inlineStr">
        <is>
          <t>1/1 
97153</t>
        </is>
      </c>
      <c r="J227">
        <f>IF(L227="Level 1", VLOOKUP(I227, UserCodes!E:F, 2, FALSE) * H227, IF(L227="Level 2", VLOOKUP(I227, UserCodes!E:F, 2, FALSE) * H227 * 0.8, 0))</f>
        <v/>
      </c>
      <c r="K227" t="inlineStr">
        <is>
          <t>Muse, Aaliya</t>
        </is>
      </c>
      <c r="L227">
        <f>VLOOKUP(K227, UserCodes!A:B, 2, FALSE)</f>
        <v/>
      </c>
    </row>
    <row r="228">
      <c r="A228" t="inlineStr">
        <is>
          <t>Jama, Khadija</t>
        </is>
      </c>
      <c r="B228" s="3" t="n">
        <v>46010</v>
      </c>
      <c r="C228" t="inlineStr">
        <is>
          <t>03:30 PM - 08:00 PM</t>
        </is>
      </c>
      <c r="D228" t="inlineStr">
        <is>
          <t>04:30</t>
        </is>
      </c>
      <c r="E228">
        <f>HOUR(D228)+MINUTE(D228)/100</f>
        <v/>
      </c>
      <c r="F228">
        <f>ROUND(INT(E228) + (E228 - INT(E228)) * 100 / 60, 2)</f>
        <v/>
      </c>
      <c r="G228">
        <f>E228*4</f>
        <v/>
      </c>
      <c r="H228">
        <f>LET(total, INT(E228)*60 + (E228-INT(E228))*100, blocks, QUOTIENT(total, 15), extra, MOD(total, 15), units, blocks + IF(extra&gt;=8, 1, 0), units)</f>
        <v/>
      </c>
      <c r="I228" t="inlineStr">
        <is>
          <t>1/1 
97153</t>
        </is>
      </c>
      <c r="J228">
        <f>IF(L228="Level 1", VLOOKUP(I228, UserCodes!E:F, 2, FALSE) * H228, IF(L228="Level 2", VLOOKUP(I228, UserCodes!E:F, 2, FALSE) * H228 * 0.8, 0))</f>
        <v/>
      </c>
      <c r="K228" t="inlineStr">
        <is>
          <t>Hashi, Ridwan</t>
        </is>
      </c>
      <c r="L228">
        <f>VLOOKUP(K228, UserCodes!A:B, 2, FALSE)</f>
        <v/>
      </c>
    </row>
    <row r="229">
      <c r="A229" t="inlineStr">
        <is>
          <t>Jama, Khadija</t>
        </is>
      </c>
      <c r="B229" s="3" t="n">
        <v>46010</v>
      </c>
      <c r="C229" t="inlineStr">
        <is>
          <t>09:25 AM - 11:40 AM</t>
        </is>
      </c>
      <c r="D229" t="inlineStr">
        <is>
          <t>02:15</t>
        </is>
      </c>
      <c r="E229">
        <f>HOUR(D229)+MINUTE(D229)/100</f>
        <v/>
      </c>
      <c r="F229">
        <f>ROUND(INT(E229) + (E229 - INT(E229)) * 100 / 60, 2)</f>
        <v/>
      </c>
      <c r="G229">
        <f>E229*4</f>
        <v/>
      </c>
      <c r="H229">
        <f>LET(total, INT(E229)*60 + (E229-INT(E229))*100, blocks, QUOTIENT(total, 15), extra, MOD(total, 15), units, blocks + IF(extra&gt;=8, 1, 0), units)</f>
        <v/>
      </c>
      <c r="J229">
        <f>IF(L229="Level 1", VLOOKUP(I229, UserCodes!E:F, 2, FALSE) * H229, IF(L229="Level 2", VLOOKUP(I229, UserCodes!E:F, 2, FALSE) * H229 * 0.8, 0))</f>
        <v/>
      </c>
      <c r="K229" t="inlineStr">
        <is>
          <t>Ahmed, Jama</t>
        </is>
      </c>
      <c r="L229">
        <f>VLOOKUP(K229, UserCodes!A:B, 2, FALSE)</f>
        <v/>
      </c>
      <c r="M229" t="inlineStr">
        <is>
          <t>No schedule</t>
        </is>
      </c>
    </row>
    <row r="230">
      <c r="A230" t="inlineStr">
        <is>
          <t>Mohamed, Sumaya</t>
        </is>
      </c>
      <c r="B230" s="3" t="n">
        <v>46010</v>
      </c>
      <c r="C230" t="inlineStr">
        <is>
          <t>12:00 PM - 07:00 PM</t>
        </is>
      </c>
      <c r="D230" t="inlineStr">
        <is>
          <t>07:00</t>
        </is>
      </c>
      <c r="E230">
        <f>HOUR(D230)+MINUTE(D230)/100</f>
        <v/>
      </c>
      <c r="F230">
        <f>ROUND(INT(E230) + (E230 - INT(E230)) * 100 / 60, 2)</f>
        <v/>
      </c>
      <c r="G230">
        <f>E230*4</f>
        <v/>
      </c>
      <c r="H230">
        <f>LET(total, INT(E230)*60 + (E230-INT(E230))*100, blocks, QUOTIENT(total, 15), extra, MOD(total, 15), units, blocks + IF(extra&gt;=8, 1, 0), units)</f>
        <v/>
      </c>
      <c r="I230" t="inlineStr">
        <is>
          <t>1/1 
97153</t>
        </is>
      </c>
      <c r="J230">
        <f>IF(L230="Level 1", VLOOKUP(I230, UserCodes!E:F, 2, FALSE) * H230, IF(L230="Level 2", VLOOKUP(I230, UserCodes!E:F, 2, FALSE) * H230 * 0.8, 0))</f>
        <v/>
      </c>
      <c r="K230" t="inlineStr">
        <is>
          <t>ALI, AMIRA</t>
        </is>
      </c>
      <c r="L230">
        <f>VLOOKUP(K230, UserCodes!A:B, 2, FALSE)</f>
        <v/>
      </c>
    </row>
    <row r="231">
      <c r="A231" t="inlineStr">
        <is>
          <t>Mohamed, Sumaya</t>
        </is>
      </c>
      <c r="B231" s="3" t="n">
        <v>46010</v>
      </c>
      <c r="C231" t="inlineStr">
        <is>
          <t>01:00 PM - 04:00 PM</t>
        </is>
      </c>
      <c r="D231" t="inlineStr">
        <is>
          <t>03:00</t>
        </is>
      </c>
      <c r="E231">
        <f>HOUR(D231)+MINUTE(D231)/100</f>
        <v/>
      </c>
      <c r="F231">
        <f>ROUND(INT(E231) + (E231 - INT(E231)) * 100 / 60, 2)</f>
        <v/>
      </c>
      <c r="G231">
        <f>E231*4</f>
        <v/>
      </c>
      <c r="H231">
        <f>LET(total, INT(E231)*60 + (E231-INT(E231))*100, blocks, QUOTIENT(total, 15), extra, MOD(total, 15), units, blocks + IF(extra&gt;=8, 1, 0), units)</f>
        <v/>
      </c>
      <c r="I231" t="inlineStr">
        <is>
          <t>O&amp;D 
97155</t>
        </is>
      </c>
      <c r="J231">
        <f>IF(L231="Level 1", VLOOKUP(I231, UserCodes!E:F, 2, FALSE) * H231, IF(L231="Level 2", VLOOKUP(I231, UserCodes!E:F, 2, FALSE) * H231 * 0.8, 0))</f>
        <v/>
      </c>
      <c r="K231" t="inlineStr">
        <is>
          <t>Muse, Adna</t>
        </is>
      </c>
      <c r="L231">
        <f>VLOOKUP(K231, UserCodes!A:B, 2, FALSE)</f>
        <v/>
      </c>
    </row>
    <row r="232">
      <c r="A232" t="inlineStr">
        <is>
          <t>Yusuf, Khadija</t>
        </is>
      </c>
      <c r="B232" s="3" t="n">
        <v>46010</v>
      </c>
      <c r="C232" t="inlineStr">
        <is>
          <t>01:00 PM - 02:30 PM</t>
        </is>
      </c>
      <c r="D232" t="inlineStr">
        <is>
          <t>01:30</t>
        </is>
      </c>
      <c r="E232">
        <f>HOUR(D232)+MINUTE(D232)/100</f>
        <v/>
      </c>
      <c r="F232">
        <f>ROUND(INT(E232) + (E232 - INT(E232)) * 100 / 60, 2)</f>
        <v/>
      </c>
      <c r="G232">
        <f>E232*4</f>
        <v/>
      </c>
      <c r="H232">
        <f>LET(total, INT(E232)*60 + (E232-INT(E232))*100, blocks, QUOTIENT(total, 15), extra, MOD(total, 15), units, blocks + IF(extra&gt;=8, 1, 0), units)</f>
        <v/>
      </c>
      <c r="I232" t="inlineStr">
        <is>
          <t>1/1 
97153</t>
        </is>
      </c>
      <c r="J232">
        <f>IF(L232="Level 1", VLOOKUP(I232, UserCodes!E:F, 2, FALSE) * H232, IF(L232="Level 2", VLOOKUP(I232, UserCodes!E:F, 2, FALSE) * H232 * 0.8, 0))</f>
        <v/>
      </c>
      <c r="K232" t="inlineStr">
        <is>
          <t>Noor, Kamilo</t>
        </is>
      </c>
      <c r="L232">
        <f>VLOOKUP(K232, UserCodes!A:B, 2, FALSE)</f>
        <v/>
      </c>
    </row>
    <row r="233">
      <c r="A233" t="inlineStr">
        <is>
          <t>Kadir, Hamdi</t>
        </is>
      </c>
      <c r="B233" s="3" t="n">
        <v>46010</v>
      </c>
      <c r="C233" t="inlineStr">
        <is>
          <t>04:00 PM - 08:00 PM</t>
        </is>
      </c>
      <c r="D233" t="inlineStr">
        <is>
          <t>04:00</t>
        </is>
      </c>
      <c r="E233">
        <f>HOUR(D233)+MINUTE(D233)/100</f>
        <v/>
      </c>
      <c r="F233">
        <f>ROUND(INT(E233) + (E233 - INT(E233)) * 100 / 60, 2)</f>
        <v/>
      </c>
      <c r="G233">
        <f>E233*4</f>
        <v/>
      </c>
      <c r="H233">
        <f>LET(total, INT(E233)*60 + (E233-INT(E233))*100, blocks, QUOTIENT(total, 15), extra, MOD(total, 15), units, blocks + IF(extra&gt;=8, 1, 0), units)</f>
        <v/>
      </c>
      <c r="I233" t="inlineStr">
        <is>
          <t>1/1 
97153</t>
        </is>
      </c>
      <c r="J233">
        <f>IF(L233="Level 1", VLOOKUP(I233, UserCodes!E:F, 2, FALSE) * H233, IF(L233="Level 2", VLOOKUP(I233, UserCodes!E:F, 2, FALSE) * H233 * 0.8, 0))</f>
        <v/>
      </c>
      <c r="K233" t="inlineStr">
        <is>
          <t>Barqab, Mushtaq</t>
        </is>
      </c>
      <c r="L233">
        <f>VLOOKUP(K233, UserCodes!A:B, 2, FALSE)</f>
        <v/>
      </c>
    </row>
    <row r="234">
      <c r="A234" t="inlineStr">
        <is>
          <t>Abdullahi, Abdirahman</t>
        </is>
      </c>
      <c r="B234" s="3" t="n">
        <v>46010</v>
      </c>
      <c r="C234" t="inlineStr">
        <is>
          <t>12:00 PM - 05:00 PM</t>
        </is>
      </c>
      <c r="D234" t="inlineStr">
        <is>
          <t>05:00</t>
        </is>
      </c>
      <c r="E234">
        <f>HOUR(D234)+MINUTE(D234)/100</f>
        <v/>
      </c>
      <c r="F234">
        <f>ROUND(INT(E234) + (E234 - INT(E234)) * 100 / 60, 2)</f>
        <v/>
      </c>
      <c r="G234">
        <f>E234*4</f>
        <v/>
      </c>
      <c r="H234">
        <f>LET(total, INT(E234)*60 + (E234-INT(E234))*100, blocks, QUOTIENT(total, 15), extra, MOD(total, 15), units, blocks + IF(extra&gt;=8, 1, 0), units)</f>
        <v/>
      </c>
      <c r="I234" t="inlineStr">
        <is>
          <t>1/1 
97153</t>
        </is>
      </c>
      <c r="J234">
        <f>IF(L234="Level 1", VLOOKUP(I234, UserCodes!E:F, 2, FALSE) * H234, IF(L234="Level 2", VLOOKUP(I234, UserCodes!E:F, 2, FALSE) * H234 * 0.8, 0))</f>
        <v/>
      </c>
      <c r="K234" t="inlineStr">
        <is>
          <t>Omar, Mohamed</t>
        </is>
      </c>
      <c r="L234">
        <f>VLOOKUP(K234, UserCodes!A:B, 2, FALSE)</f>
        <v/>
      </c>
    </row>
    <row r="235">
      <c r="A235" t="inlineStr">
        <is>
          <t>Yusuf, Khadija</t>
        </is>
      </c>
      <c r="B235" s="3" t="n">
        <v>46010</v>
      </c>
      <c r="C235" t="inlineStr">
        <is>
          <t>02:30 PM - 06:00 PM</t>
        </is>
      </c>
      <c r="D235" t="inlineStr">
        <is>
          <t>03:30</t>
        </is>
      </c>
      <c r="E235">
        <f>HOUR(D235)+MINUTE(D235)/100</f>
        <v/>
      </c>
      <c r="F235">
        <f>ROUND(INT(E235) + (E235 - INT(E235)) * 100 / 60, 2)</f>
        <v/>
      </c>
      <c r="G235">
        <f>E235*4</f>
        <v/>
      </c>
      <c r="H235">
        <f>LET(total, INT(E235)*60 + (E235-INT(E235))*100, blocks, QUOTIENT(total, 15), extra, MOD(total, 15), units, blocks + IF(extra&gt;=8, 1, 0), units)</f>
        <v/>
      </c>
      <c r="J235">
        <f>IF(L235="Level 1", VLOOKUP(I235, UserCodes!E:F, 2, FALSE) * H235, IF(L235="Level 2", VLOOKUP(I235, UserCodes!E:F, 2, FALSE) * H235 * 0.8, 0))</f>
        <v/>
      </c>
      <c r="K235" t="inlineStr">
        <is>
          <t>Ran, Sameya</t>
        </is>
      </c>
      <c r="L235">
        <f>VLOOKUP(K235, UserCodes!A:B, 2, FALSE)</f>
        <v/>
      </c>
      <c r="M235" t="inlineStr">
        <is>
          <t>No schedule</t>
        </is>
      </c>
    </row>
    <row r="236">
      <c r="A236" t="inlineStr">
        <is>
          <t>Kadir, Hamdi</t>
        </is>
      </c>
      <c r="B236" s="3" t="n">
        <v>46010</v>
      </c>
      <c r="C236" t="inlineStr">
        <is>
          <t>12:59 PM - 03:00 PM</t>
        </is>
      </c>
      <c r="D236" t="inlineStr">
        <is>
          <t>02:01</t>
        </is>
      </c>
      <c r="E236">
        <f>HOUR(D236)+MINUTE(D236)/100</f>
        <v/>
      </c>
      <c r="F236">
        <f>ROUND(INT(E236) + (E236 - INT(E236)) * 100 / 60, 2)</f>
        <v/>
      </c>
      <c r="G236">
        <f>E236*4</f>
        <v/>
      </c>
      <c r="H236">
        <f>LET(total, INT(E236)*60 + (E236-INT(E236))*100, blocks, QUOTIENT(total, 15), extra, MOD(total, 15), units, blocks + IF(extra&gt;=8, 1, 0), units)</f>
        <v/>
      </c>
      <c r="J236">
        <f>IF(L236="Level 1", VLOOKUP(I236, UserCodes!E:F, 2, FALSE) * H236, IF(L236="Level 2", VLOOKUP(I236, UserCodes!E:F, 2, FALSE) * H236 * 0.8, 0))</f>
        <v/>
      </c>
      <c r="K236" t="inlineStr">
        <is>
          <t>Ahmed, Jama</t>
        </is>
      </c>
      <c r="L236">
        <f>VLOOKUP(K236, UserCodes!A:B, 2, FALSE)</f>
        <v/>
      </c>
      <c r="M236" t="inlineStr">
        <is>
          <t>No schedule</t>
        </is>
      </c>
    </row>
    <row r="237">
      <c r="A237" t="inlineStr">
        <is>
          <t>Kadir, Hamdi</t>
        </is>
      </c>
      <c r="B237" s="3" t="n">
        <v>46010</v>
      </c>
      <c r="C237" t="inlineStr">
        <is>
          <t>12:30 PM - 03:30 PM</t>
        </is>
      </c>
      <c r="D237" t="inlineStr">
        <is>
          <t>03:00</t>
        </is>
      </c>
      <c r="E237">
        <f>HOUR(D237)+MINUTE(D237)/100</f>
        <v/>
      </c>
      <c r="F237">
        <f>ROUND(INT(E237) + (E237 - INT(E237)) * 100 / 60, 2)</f>
        <v/>
      </c>
      <c r="G237">
        <f>E237*4</f>
        <v/>
      </c>
      <c r="H237">
        <f>LET(total, INT(E237)*60 + (E237-INT(E237))*100, blocks, QUOTIENT(total, 15), extra, MOD(total, 15), units, blocks + IF(extra&gt;=8, 1, 0), units)</f>
        <v/>
      </c>
      <c r="I237" t="inlineStr">
        <is>
          <t>O&amp;D 
97155</t>
        </is>
      </c>
      <c r="J237">
        <f>IF(L237="Level 1", VLOOKUP(I237, UserCodes!E:F, 2, FALSE) * H237, IF(L237="Level 2", VLOOKUP(I237, UserCodes!E:F, 2, FALSE) * H237 * 0.8, 0))</f>
        <v/>
      </c>
      <c r="K237" t="inlineStr">
        <is>
          <t>Muse, Aaliya</t>
        </is>
      </c>
      <c r="L237">
        <f>VLOOKUP(K237, UserCodes!A:B, 2, FALSE)</f>
        <v/>
      </c>
    </row>
    <row r="238">
      <c r="A238" t="inlineStr">
        <is>
          <t>Kadir, Hamdi</t>
        </is>
      </c>
      <c r="B238" s="3" t="n">
        <v>46010</v>
      </c>
      <c r="C238" t="inlineStr">
        <is>
          <t>12:00 PM - 03:30 PM</t>
        </is>
      </c>
      <c r="D238" t="inlineStr">
        <is>
          <t>03:30</t>
        </is>
      </c>
      <c r="E238">
        <f>HOUR(D238)+MINUTE(D238)/100</f>
        <v/>
      </c>
      <c r="F238">
        <f>ROUND(INT(E238) + (E238 - INT(E238)) * 100 / 60, 2)</f>
        <v/>
      </c>
      <c r="G238">
        <f>E238*4</f>
        <v/>
      </c>
      <c r="H238">
        <f>LET(total, INT(E238)*60 + (E238-INT(E238))*100, blocks, QUOTIENT(total, 15), extra, MOD(total, 15), units, blocks + IF(extra&gt;=8, 1, 0), units)</f>
        <v/>
      </c>
      <c r="I238" t="inlineStr">
        <is>
          <t>1/1 
97153</t>
        </is>
      </c>
      <c r="J238">
        <f>IF(L238="Level 1", VLOOKUP(I238, UserCodes!E:F, 2, FALSE) * H238, IF(L238="Level 2", VLOOKUP(I238, UserCodes!E:F, 2, FALSE) * H238 * 0.8, 0))</f>
        <v/>
      </c>
      <c r="K238" t="inlineStr">
        <is>
          <t>Barqab, Mushtaq</t>
        </is>
      </c>
      <c r="L238">
        <f>VLOOKUP(K238, UserCodes!A:B, 2, FALSE)</f>
        <v/>
      </c>
    </row>
    <row r="239">
      <c r="A239" t="inlineStr">
        <is>
          <t>Yusuf, Khadija</t>
        </is>
      </c>
      <c r="B239" s="3" t="n">
        <v>46010</v>
      </c>
      <c r="C239" t="inlineStr">
        <is>
          <t>02:30 PM - 04:00 PM</t>
        </is>
      </c>
      <c r="D239" t="inlineStr">
        <is>
          <t>01:30</t>
        </is>
      </c>
      <c r="E239">
        <f>HOUR(D239)+MINUTE(D239)/100</f>
        <v/>
      </c>
      <c r="F239">
        <f>ROUND(INT(E239) + (E239 - INT(E239)) * 100 / 60, 2)</f>
        <v/>
      </c>
      <c r="G239">
        <f>E239*4</f>
        <v/>
      </c>
      <c r="H239">
        <f>LET(total, INT(E239)*60 + (E239-INT(E239))*100, blocks, QUOTIENT(total, 15), extra, MOD(total, 15), units, blocks + IF(extra&gt;=8, 1, 0), units)</f>
        <v/>
      </c>
      <c r="J239">
        <f>IF(L239="Level 1", VLOOKUP(I239, UserCodes!E:F, 2, FALSE) * H239, IF(L239="Level 2", VLOOKUP(I239, UserCodes!E:F, 2, FALSE) * H239 * 0.8, 0))</f>
        <v/>
      </c>
      <c r="K239" t="inlineStr">
        <is>
          <t>Muse, Ayni</t>
        </is>
      </c>
      <c r="L239">
        <f>VLOOKUP(K239, UserCodes!A:B, 2, FALSE)</f>
        <v/>
      </c>
      <c r="M239" t="inlineStr">
        <is>
          <t>No schedule</t>
        </is>
      </c>
    </row>
    <row r="240">
      <c r="A240" t="inlineStr">
        <is>
          <t>Sulub, Sharmake</t>
        </is>
      </c>
      <c r="B240" s="3" t="n">
        <v>46010</v>
      </c>
      <c r="C240" t="inlineStr">
        <is>
          <t>04:00pm - 07:00pm</t>
        </is>
      </c>
      <c r="E240">
        <f>HOUR(D240)+MINUTE(D240)/100</f>
        <v/>
      </c>
      <c r="F240">
        <f>ROUND(INT(E240) + (E240 - INT(E240)) * 100 / 60, 2)</f>
        <v/>
      </c>
      <c r="G240">
        <f>E240*4</f>
        <v/>
      </c>
      <c r="H240">
        <f>LET(total, INT(E240)*60 + (E240-INT(E240))*100, blocks, QUOTIENT(total, 15), extra, MOD(total, 15), units, blocks + IF(extra&gt;=8, 1, 0), units)</f>
        <v/>
      </c>
      <c r="I240" t="inlineStr">
        <is>
          <t>O&amp;D 
97155</t>
        </is>
      </c>
      <c r="J240">
        <f>IF(L240="Level 1", VLOOKUP(I240, UserCodes!E:F, 2, FALSE) * H240, IF(L240="Level 2", VLOOKUP(I240, UserCodes!E:F, 2, FALSE) * H240 * 0.8, 0))</f>
        <v/>
      </c>
      <c r="K240" t="inlineStr">
        <is>
          <t>Abdulle, Zamzam</t>
        </is>
      </c>
      <c r="L240">
        <f>VLOOKUP(K240, UserCodes!A:B, 2, FALSE)</f>
        <v/>
      </c>
      <c r="M240" t="inlineStr">
        <is>
          <t>No note</t>
        </is>
      </c>
    </row>
    <row r="241">
      <c r="A241" t="inlineStr">
        <is>
          <t>Yusuf 2, Khadra</t>
        </is>
      </c>
      <c r="B241" s="3" t="n">
        <v>46011</v>
      </c>
      <c r="C241" t="inlineStr">
        <is>
          <t>09:00 AM - 11:15 AM</t>
        </is>
      </c>
      <c r="D241" t="inlineStr">
        <is>
          <t>02:15</t>
        </is>
      </c>
      <c r="E241">
        <f>HOUR(D241)+MINUTE(D241)/100</f>
        <v/>
      </c>
      <c r="F241">
        <f>ROUND(INT(E241) + (E241 - INT(E241)) * 100 / 60, 2)</f>
        <v/>
      </c>
      <c r="G241">
        <f>E241*4</f>
        <v/>
      </c>
      <c r="H241">
        <f>LET(total, INT(E241)*60 + (E241-INT(E241))*100, blocks, QUOTIENT(total, 15), extra, MOD(total, 15), units, blocks + IF(extra&gt;=8, 1, 0), units)</f>
        <v/>
      </c>
      <c r="I241" t="inlineStr">
        <is>
          <t>1/1 
97153</t>
        </is>
      </c>
      <c r="J241">
        <f>IF(L241="Level 1", VLOOKUP(I241, UserCodes!E:F, 2, FALSE) * H241, IF(L241="Level 2", VLOOKUP(I241, UserCodes!E:F, 2, FALSE) * H241 * 0.8, 0))</f>
        <v/>
      </c>
      <c r="K241" t="inlineStr">
        <is>
          <t>Osman, Basra</t>
        </is>
      </c>
      <c r="L241">
        <f>VLOOKUP(K241, UserCodes!A:B, 2, FALSE)</f>
        <v/>
      </c>
    </row>
    <row r="242">
      <c r="A242" t="inlineStr">
        <is>
          <t>Kadir, Hamdi</t>
        </is>
      </c>
      <c r="B242" s="3" t="n">
        <v>46011</v>
      </c>
      <c r="C242" t="inlineStr">
        <is>
          <t>01:00 PM - 04:00 PM</t>
        </is>
      </c>
      <c r="D242" t="inlineStr">
        <is>
          <t>03:00</t>
        </is>
      </c>
      <c r="E242">
        <f>HOUR(D242)+MINUTE(D242)/100</f>
        <v/>
      </c>
      <c r="F242">
        <f>ROUND(INT(E242) + (E242 - INT(E242)) * 100 / 60, 2)</f>
        <v/>
      </c>
      <c r="G242">
        <f>E242*4</f>
        <v/>
      </c>
      <c r="H242">
        <f>LET(total, INT(E242)*60 + (E242-INT(E242))*100, blocks, QUOTIENT(total, 15), extra, MOD(total, 15), units, blocks + IF(extra&gt;=8, 1, 0), units)</f>
        <v/>
      </c>
      <c r="I242" t="inlineStr">
        <is>
          <t>O&amp;D 
97155</t>
        </is>
      </c>
      <c r="J242">
        <f>IF(L242="Level 1", VLOOKUP(I242, UserCodes!E:F, 2, FALSE) * H242, IF(L242="Level 2", VLOOKUP(I242, UserCodes!E:F, 2, FALSE) * H242 * 0.8, 0))</f>
        <v/>
      </c>
      <c r="K242" t="inlineStr">
        <is>
          <t>Ibrahim, Ahmed</t>
        </is>
      </c>
      <c r="L242">
        <f>VLOOKUP(K242, UserCodes!A:B, 2, FALSE)</f>
        <v/>
      </c>
    </row>
    <row r="243">
      <c r="A243" t="inlineStr">
        <is>
          <t>Jama, Khadija</t>
        </is>
      </c>
      <c r="B243" s="3" t="n">
        <v>46011</v>
      </c>
      <c r="C243" t="inlineStr">
        <is>
          <t>03:00 PM - 06:00 PM</t>
        </is>
      </c>
      <c r="D243" t="inlineStr">
        <is>
          <t>03:00</t>
        </is>
      </c>
      <c r="E243">
        <f>HOUR(D243)+MINUTE(D243)/100</f>
        <v/>
      </c>
      <c r="F243">
        <f>ROUND(INT(E243) + (E243 - INT(E243)) * 100 / 60, 2)</f>
        <v/>
      </c>
      <c r="G243">
        <f>E243*4</f>
        <v/>
      </c>
      <c r="H243">
        <f>LET(total, INT(E243)*60 + (E243-INT(E243))*100, blocks, QUOTIENT(total, 15), extra, MOD(total, 15), units, blocks + IF(extra&gt;=8, 1, 0), units)</f>
        <v/>
      </c>
      <c r="I243" t="inlineStr">
        <is>
          <t>O&amp;D 
97155</t>
        </is>
      </c>
      <c r="J243">
        <f>IF(L243="Level 1", VLOOKUP(I243, UserCodes!E:F, 2, FALSE) * H243, IF(L243="Level 2", VLOOKUP(I243, UserCodes!E:F, 2, FALSE) * H243 * 0.8, 0))</f>
        <v/>
      </c>
      <c r="K243" t="inlineStr">
        <is>
          <t>Muse, Adna</t>
        </is>
      </c>
      <c r="L243">
        <f>VLOOKUP(K243, UserCodes!A:B, 2, FALSE)</f>
        <v/>
      </c>
    </row>
    <row r="244">
      <c r="A244" t="inlineStr">
        <is>
          <t>Yusuf 2, Khadra</t>
        </is>
      </c>
      <c r="B244" s="3" t="n">
        <v>46011</v>
      </c>
      <c r="C244" t="inlineStr">
        <is>
          <t>11:15 AM - 05:12 PM</t>
        </is>
      </c>
      <c r="D244" t="inlineStr">
        <is>
          <t>05:57</t>
        </is>
      </c>
      <c r="E244">
        <f>HOUR(D244)+MINUTE(D244)/100</f>
        <v/>
      </c>
      <c r="F244">
        <f>ROUND(INT(E244) + (E244 - INT(E244)) * 100 / 60, 2)</f>
        <v/>
      </c>
      <c r="G244">
        <f>E244*4</f>
        <v/>
      </c>
      <c r="H244">
        <f>LET(total, INT(E244)*60 + (E244-INT(E244))*100, blocks, QUOTIENT(total, 15), extra, MOD(total, 15), units, blocks + IF(extra&gt;=8, 1, 0), units)</f>
        <v/>
      </c>
      <c r="I244" t="inlineStr">
        <is>
          <t>1/1 
97153</t>
        </is>
      </c>
      <c r="J244">
        <f>IF(L244="Level 1", VLOOKUP(I244, UserCodes!E:F, 2, FALSE) * H244, IF(L244="Level 2", VLOOKUP(I244, UserCodes!E:F, 2, FALSE) * H244 * 0.8, 0))</f>
        <v/>
      </c>
      <c r="K244" t="inlineStr">
        <is>
          <t>Barqab, Mushtaq</t>
        </is>
      </c>
      <c r="L244">
        <f>VLOOKUP(K244, UserCodes!A:B, 2, FALSE)</f>
        <v/>
      </c>
    </row>
    <row r="245">
      <c r="A245" t="inlineStr">
        <is>
          <t>Sulub, Sharmake</t>
        </is>
      </c>
      <c r="B245" s="3" t="n">
        <v>46011</v>
      </c>
      <c r="C245" t="inlineStr">
        <is>
          <t>10:00am - 01:00pm</t>
        </is>
      </c>
      <c r="E245">
        <f>HOUR(D245)+MINUTE(D245)/100</f>
        <v/>
      </c>
      <c r="F245">
        <f>ROUND(INT(E245) + (E245 - INT(E245)) * 100 / 60, 2)</f>
        <v/>
      </c>
      <c r="G245">
        <f>E245*4</f>
        <v/>
      </c>
      <c r="H245">
        <f>LET(total, INT(E245)*60 + (E245-INT(E245))*100, blocks, QUOTIENT(total, 15), extra, MOD(total, 15), units, blocks + IF(extra&gt;=8, 1, 0), units)</f>
        <v/>
      </c>
      <c r="I245" t="inlineStr">
        <is>
          <t>O&amp;D 
97155</t>
        </is>
      </c>
      <c r="J245">
        <f>IF(L245="Level 1", VLOOKUP(I245, UserCodes!E:F, 2, FALSE) * H245, IF(L245="Level 2", VLOOKUP(I245, UserCodes!E:F, 2, FALSE) * H245 * 0.8, 0))</f>
        <v/>
      </c>
      <c r="K245" t="inlineStr">
        <is>
          <t>Abdulle, Zamzam</t>
        </is>
      </c>
      <c r="L245">
        <f>VLOOKUP(K245, UserCodes!A:B, 2, FALSE)</f>
        <v/>
      </c>
      <c r="M245" t="inlineStr">
        <is>
          <t>No note</t>
        </is>
      </c>
    </row>
    <row r="246">
      <c r="A246" t="inlineStr">
        <is>
          <t>Yusuf, Khadija</t>
        </is>
      </c>
      <c r="B246" s="3" t="n">
        <v>46011</v>
      </c>
      <c r="C246" t="inlineStr">
        <is>
          <t>09:00 AM - 12:00 PM</t>
        </is>
      </c>
      <c r="D246" t="inlineStr">
        <is>
          <t>03:00</t>
        </is>
      </c>
      <c r="E246">
        <f>HOUR(D246)+MINUTE(D246)/100</f>
        <v/>
      </c>
      <c r="F246">
        <f>ROUND(INT(E246) + (E246 - INT(E246)) * 100 / 60, 2)</f>
        <v/>
      </c>
      <c r="G246">
        <f>E246*4</f>
        <v/>
      </c>
      <c r="H246">
        <f>LET(total, INT(E246)*60 + (E246-INT(E246))*100, blocks, QUOTIENT(total, 15), extra, MOD(total, 15), units, blocks + IF(extra&gt;=8, 1, 0), units)</f>
        <v/>
      </c>
      <c r="I246" t="inlineStr">
        <is>
          <t>1/1 
97153</t>
        </is>
      </c>
      <c r="J246">
        <f>IF(L246="Level 1", VLOOKUP(I246, UserCodes!E:F, 2, FALSE) * H246, IF(L246="Level 2", VLOOKUP(I246, UserCodes!E:F, 2, FALSE) * H246 * 0.8, 0))</f>
        <v/>
      </c>
      <c r="K246" t="inlineStr">
        <is>
          <t>Muse, Ayni</t>
        </is>
      </c>
      <c r="L246">
        <f>VLOOKUP(K246, UserCodes!A:B, 2, FALSE)</f>
        <v/>
      </c>
    </row>
    <row r="247">
      <c r="A247" t="inlineStr">
        <is>
          <t>Ali, Saami</t>
        </is>
      </c>
      <c r="B247" s="3" t="n">
        <v>46011</v>
      </c>
      <c r="C247" t="inlineStr">
        <is>
          <t>04:00pm - 06:00pm</t>
        </is>
      </c>
      <c r="E247">
        <f>HOUR(D247)+MINUTE(D247)/100</f>
        <v/>
      </c>
      <c r="F247">
        <f>ROUND(INT(E247) + (E247 - INT(E247)) * 100 / 60, 2)</f>
        <v/>
      </c>
      <c r="G247">
        <f>E247*4</f>
        <v/>
      </c>
      <c r="H247">
        <f>LET(total, INT(E247)*60 + (E247-INT(E247))*100, blocks, QUOTIENT(total, 15), extra, MOD(total, 15), units, blocks + IF(extra&gt;=8, 1, 0), units)</f>
        <v/>
      </c>
      <c r="I247" t="inlineStr">
        <is>
          <t>O&amp;D 
97155</t>
        </is>
      </c>
      <c r="J247">
        <f>IF(L247="Level 1", VLOOKUP(I247, UserCodes!E:F, 2, FALSE) * H247, IF(L247="Level 2", VLOOKUP(I247, UserCodes!E:F, 2, FALSE) * H247 * 0.8, 0))</f>
        <v/>
      </c>
      <c r="K247" t="inlineStr">
        <is>
          <t>Ibrahim, Ahmed</t>
        </is>
      </c>
      <c r="L247">
        <f>VLOOKUP(K247, UserCodes!A:B, 2, FALSE)</f>
        <v/>
      </c>
      <c r="M247" t="inlineStr">
        <is>
          <t>No note</t>
        </is>
      </c>
    </row>
    <row r="248">
      <c r="A248" t="inlineStr">
        <is>
          <t>Yusuf, Khadija</t>
        </is>
      </c>
      <c r="B248" s="3" t="n">
        <v>46011</v>
      </c>
      <c r="C248" t="inlineStr">
        <is>
          <t>09:30 AM - 11:30 AM</t>
        </is>
      </c>
      <c r="D248" t="inlineStr">
        <is>
          <t>02:00</t>
        </is>
      </c>
      <c r="E248">
        <f>HOUR(D248)+MINUTE(D248)/100</f>
        <v/>
      </c>
      <c r="F248">
        <f>ROUND(INT(E248) + (E248 - INT(E248)) * 100 / 60, 2)</f>
        <v/>
      </c>
      <c r="G248">
        <f>E248*4</f>
        <v/>
      </c>
      <c r="H248">
        <f>LET(total, INT(E248)*60 + (E248-INT(E248))*100, blocks, QUOTIENT(total, 15), extra, MOD(total, 15), units, blocks + IF(extra&gt;=8, 1, 0), units)</f>
        <v/>
      </c>
      <c r="J248">
        <f>IF(L248="Level 1", VLOOKUP(I248, UserCodes!E:F, 2, FALSE) * H248, IF(L248="Level 2", VLOOKUP(I248, UserCodes!E:F, 2, FALSE) * H248 * 0.8, 0))</f>
        <v/>
      </c>
      <c r="K248" t="inlineStr">
        <is>
          <t>Ahmed, Jama</t>
        </is>
      </c>
      <c r="L248">
        <f>VLOOKUP(K248, UserCodes!A:B, 2, FALSE)</f>
        <v/>
      </c>
      <c r="M248" t="inlineStr">
        <is>
          <t>No schedule</t>
        </is>
      </c>
    </row>
    <row r="249">
      <c r="A249" t="inlineStr">
        <is>
          <t>Yusuf, Khadija</t>
        </is>
      </c>
      <c r="B249" s="3" t="n">
        <v>46011</v>
      </c>
      <c r="C249" t="inlineStr">
        <is>
          <t>12:30 PM - 05:00 PM</t>
        </is>
      </c>
      <c r="D249" t="inlineStr">
        <is>
          <t>04:30</t>
        </is>
      </c>
      <c r="E249">
        <f>HOUR(D249)+MINUTE(D249)/100</f>
        <v/>
      </c>
      <c r="F249">
        <f>ROUND(INT(E249) + (E249 - INT(E249)) * 100 / 60, 2)</f>
        <v/>
      </c>
      <c r="G249">
        <f>E249*4</f>
        <v/>
      </c>
      <c r="H249">
        <f>LET(total, INT(E249)*60 + (E249-INT(E249))*100, blocks, QUOTIENT(total, 15), extra, MOD(total, 15), units, blocks + IF(extra&gt;=8, 1, 0), units)</f>
        <v/>
      </c>
      <c r="I249" t="inlineStr">
        <is>
          <t>1/1 
97153</t>
        </is>
      </c>
      <c r="J249">
        <f>IF(L249="Level 1", VLOOKUP(I249, UserCodes!E:F, 2, FALSE) * H249, IF(L249="Level 2", VLOOKUP(I249, UserCodes!E:F, 2, FALSE) * H249 * 0.8, 0))</f>
        <v/>
      </c>
      <c r="K249" t="inlineStr">
        <is>
          <t>Muse, Ayni</t>
        </is>
      </c>
      <c r="L249">
        <f>VLOOKUP(K249, UserCodes!A:B, 2, FALSE)</f>
        <v/>
      </c>
    </row>
    <row r="250">
      <c r="A250" t="inlineStr">
        <is>
          <t>Abdi, Safia</t>
        </is>
      </c>
      <c r="B250" s="3" t="n">
        <v>46011</v>
      </c>
      <c r="C250" t="inlineStr">
        <is>
          <t>10:00 AM - 05:00 PM</t>
        </is>
      </c>
      <c r="D250" t="inlineStr">
        <is>
          <t>07:00</t>
        </is>
      </c>
      <c r="E250">
        <f>HOUR(D250)+MINUTE(D250)/100</f>
        <v/>
      </c>
      <c r="F250">
        <f>ROUND(INT(E250) + (E250 - INT(E250)) * 100 / 60, 2)</f>
        <v/>
      </c>
      <c r="G250">
        <f>E250*4</f>
        <v/>
      </c>
      <c r="H250">
        <f>LET(total, INT(E250)*60 + (E250-INT(E250))*100, blocks, QUOTIENT(total, 15), extra, MOD(total, 15), units, blocks + IF(extra&gt;=8, 1, 0), units)</f>
        <v/>
      </c>
      <c r="I250" t="inlineStr">
        <is>
          <t>1/1 
97153</t>
        </is>
      </c>
      <c r="J250">
        <f>IF(L250="Level 1", VLOOKUP(I250, UserCodes!E:F, 2, FALSE) * H250, IF(L250="Level 2", VLOOKUP(I250, UserCodes!E:F, 2, FALSE) * H250 * 0.8, 0))</f>
        <v/>
      </c>
      <c r="K250" t="inlineStr">
        <is>
          <t>Mohamed, Mohamed</t>
        </is>
      </c>
      <c r="L250">
        <f>VLOOKUP(K250, UserCodes!A:B, 2, FALSE)</f>
        <v/>
      </c>
    </row>
    <row r="251">
      <c r="A251" t="inlineStr">
        <is>
          <t>Yusuf 2, Khadra</t>
        </is>
      </c>
      <c r="B251" s="3" t="n">
        <v>46011</v>
      </c>
      <c r="C251" t="inlineStr">
        <is>
          <t>11:30 AM - 01:00 PM</t>
        </is>
      </c>
      <c r="D251" t="inlineStr">
        <is>
          <t>01:30</t>
        </is>
      </c>
      <c r="E251">
        <f>HOUR(D251)+MINUTE(D251)/100</f>
        <v/>
      </c>
      <c r="F251">
        <f>ROUND(INT(E251) + (E251 - INT(E251)) * 100 / 60, 2)</f>
        <v/>
      </c>
      <c r="G251">
        <f>E251*4</f>
        <v/>
      </c>
      <c r="H251">
        <f>LET(total, INT(E251)*60 + (E251-INT(E251))*100, blocks, QUOTIENT(total, 15), extra, MOD(total, 15), units, blocks + IF(extra&gt;=8, 1, 0), units)</f>
        <v/>
      </c>
      <c r="I251" t="inlineStr">
        <is>
          <t>O&amp;D 
97155</t>
        </is>
      </c>
      <c r="J251">
        <f>IF(L251="Level 1", VLOOKUP(I251, UserCodes!E:F, 2, FALSE) * H251, IF(L251="Level 2", VLOOKUP(I251, UserCodes!E:F, 2, FALSE) * H251 * 0.8, 0))</f>
        <v/>
      </c>
      <c r="K251" t="inlineStr">
        <is>
          <t>Ibrahim, Ahmed</t>
        </is>
      </c>
      <c r="L251">
        <f>VLOOKUP(K251, UserCodes!A:B, 2, FALSE)</f>
        <v/>
      </c>
    </row>
    <row r="252">
      <c r="A252" t="inlineStr">
        <is>
          <t>Kadir, Hamdi</t>
        </is>
      </c>
      <c r="B252" s="3" t="n">
        <v>46011</v>
      </c>
      <c r="C252" t="inlineStr">
        <is>
          <t>10:00 AM - 12:00 PM</t>
        </is>
      </c>
      <c r="D252" t="inlineStr">
        <is>
          <t>02:00</t>
        </is>
      </c>
      <c r="E252">
        <f>HOUR(D252)+MINUTE(D252)/100</f>
        <v/>
      </c>
      <c r="F252">
        <f>ROUND(INT(E252) + (E252 - INT(E252)) * 100 / 60, 2)</f>
        <v/>
      </c>
      <c r="G252">
        <f>E252*4</f>
        <v/>
      </c>
      <c r="H252">
        <f>LET(total, INT(E252)*60 + (E252-INT(E252))*100, blocks, QUOTIENT(total, 15), extra, MOD(total, 15), units, blocks + IF(extra&gt;=8, 1, 0), units)</f>
        <v/>
      </c>
      <c r="I252" t="inlineStr">
        <is>
          <t>1/1 
97153</t>
        </is>
      </c>
      <c r="J252">
        <f>IF(L252="Level 1", VLOOKUP(I252, UserCodes!E:F, 2, FALSE) * H252, IF(L252="Level 2", VLOOKUP(I252, UserCodes!E:F, 2, FALSE) * H252 * 0.8, 0))</f>
        <v/>
      </c>
      <c r="K252" t="inlineStr">
        <is>
          <t>Hashi, Ridwan</t>
        </is>
      </c>
      <c r="L252">
        <f>VLOOKUP(K252, UserCodes!A:B, 2, FALSE)</f>
        <v/>
      </c>
    </row>
    <row r="253">
      <c r="A253" t="inlineStr">
        <is>
          <t>Abdi, Ahmed</t>
        </is>
      </c>
      <c r="B253" s="3" t="n">
        <v>46011</v>
      </c>
      <c r="C253" t="inlineStr">
        <is>
          <t>02:32 PM - 06:00 PM</t>
        </is>
      </c>
      <c r="D253" t="inlineStr">
        <is>
          <t>03:28</t>
        </is>
      </c>
      <c r="E253">
        <f>HOUR(D253)+MINUTE(D253)/100</f>
        <v/>
      </c>
      <c r="F253">
        <f>ROUND(INT(E253) + (E253 - INT(E253)) * 100 / 60, 2)</f>
        <v/>
      </c>
      <c r="G253">
        <f>E253*4</f>
        <v/>
      </c>
      <c r="H253">
        <f>LET(total, INT(E253)*60 + (E253-INT(E253))*100, blocks, QUOTIENT(total, 15), extra, MOD(total, 15), units, blocks + IF(extra&gt;=8, 1, 0), units)</f>
        <v/>
      </c>
      <c r="I253" t="inlineStr">
        <is>
          <t>1/1 
97153</t>
        </is>
      </c>
      <c r="J253">
        <f>IF(L253="Level 1", VLOOKUP(I253, UserCodes!E:F, 2, FALSE) * H253, IF(L253="Level 2", VLOOKUP(I253, UserCodes!E:F, 2, FALSE) * H253 * 0.8, 0))</f>
        <v/>
      </c>
      <c r="K253" t="inlineStr">
        <is>
          <t>Omar, Mohamed</t>
        </is>
      </c>
      <c r="L253">
        <f>VLOOKUP(K253, UserCodes!A:B, 2, FALSE)</f>
        <v/>
      </c>
    </row>
    <row r="254">
      <c r="A254" t="inlineStr">
        <is>
          <t>Abdi, Ahmed</t>
        </is>
      </c>
      <c r="B254" s="3" t="n">
        <v>46011</v>
      </c>
      <c r="C254" t="inlineStr">
        <is>
          <t>10:00 AM - 02:02 PM</t>
        </is>
      </c>
      <c r="D254" t="inlineStr">
        <is>
          <t>04:02</t>
        </is>
      </c>
      <c r="E254">
        <f>HOUR(D254)+MINUTE(D254)/100</f>
        <v/>
      </c>
      <c r="F254">
        <f>ROUND(INT(E254) + (E254 - INT(E254)) * 100 / 60, 2)</f>
        <v/>
      </c>
      <c r="G254">
        <f>E254*4</f>
        <v/>
      </c>
      <c r="H254">
        <f>LET(total, INT(E254)*60 + (E254-INT(E254))*100, blocks, QUOTIENT(total, 15), extra, MOD(total, 15), units, blocks + IF(extra&gt;=8, 1, 0), units)</f>
        <v/>
      </c>
      <c r="I254" t="inlineStr">
        <is>
          <t>1/1 
97153</t>
        </is>
      </c>
      <c r="J254">
        <f>IF(L254="Level 1", VLOOKUP(I254, UserCodes!E:F, 2, FALSE) * H254, IF(L254="Level 2", VLOOKUP(I254, UserCodes!E:F, 2, FALSE) * H254 * 0.8, 0))</f>
        <v/>
      </c>
      <c r="K254" t="inlineStr">
        <is>
          <t>Omar, Mohamed</t>
        </is>
      </c>
      <c r="L254">
        <f>VLOOKUP(K254, UserCodes!A:B, 2, FALSE)</f>
        <v/>
      </c>
    </row>
    <row r="255">
      <c r="A255" t="inlineStr">
        <is>
          <t>Kadir, Hamdi</t>
        </is>
      </c>
      <c r="B255" s="3" t="n">
        <v>46011</v>
      </c>
      <c r="C255" t="inlineStr">
        <is>
          <t>12:30 PM - 06:00 PM</t>
        </is>
      </c>
      <c r="D255" t="inlineStr">
        <is>
          <t>05:30</t>
        </is>
      </c>
      <c r="E255">
        <f>HOUR(D255)+MINUTE(D255)/100</f>
        <v/>
      </c>
      <c r="F255">
        <f>ROUND(INT(E255) + (E255 - INT(E255)) * 100 / 60, 2)</f>
        <v/>
      </c>
      <c r="G255">
        <f>E255*4</f>
        <v/>
      </c>
      <c r="H255">
        <f>LET(total, INT(E255)*60 + (E255-INT(E255))*100, blocks, QUOTIENT(total, 15), extra, MOD(total, 15), units, blocks + IF(extra&gt;=8, 1, 0), units)</f>
        <v/>
      </c>
      <c r="I255" t="inlineStr">
        <is>
          <t>1/1 
97153</t>
        </is>
      </c>
      <c r="J255">
        <f>IF(L255="Level 1", VLOOKUP(I255, UserCodes!E:F, 2, FALSE) * H255, IF(L255="Level 2", VLOOKUP(I255, UserCodes!E:F, 2, FALSE) * H255 * 0.8, 0))</f>
        <v/>
      </c>
      <c r="K255" t="inlineStr">
        <is>
          <t>Hashi, Ridwan</t>
        </is>
      </c>
      <c r="L255">
        <f>VLOOKUP(K255, UserCodes!A:B, 2, FALSE)</f>
        <v/>
      </c>
    </row>
    <row r="256">
      <c r="A256" t="inlineStr">
        <is>
          <t>Abdi, Safia</t>
        </is>
      </c>
      <c r="B256" s="3" t="n">
        <v>46011</v>
      </c>
      <c r="C256" t="inlineStr">
        <is>
          <t>10:00 AM - 01:00 PM</t>
        </is>
      </c>
      <c r="D256" t="inlineStr">
        <is>
          <t>03:00</t>
        </is>
      </c>
      <c r="E256">
        <f>HOUR(D256)+MINUTE(D256)/100</f>
        <v/>
      </c>
      <c r="F256">
        <f>ROUND(INT(E256) + (E256 - INT(E256)) * 100 / 60, 2)</f>
        <v/>
      </c>
      <c r="G256">
        <f>E256*4</f>
        <v/>
      </c>
      <c r="H256">
        <f>LET(total, INT(E256)*60 + (E256-INT(E256))*100, blocks, QUOTIENT(total, 15), extra, MOD(total, 15), units, blocks + IF(extra&gt;=8, 1, 0), units)</f>
        <v/>
      </c>
      <c r="I256" t="inlineStr">
        <is>
          <t>O&amp;D 
97155</t>
        </is>
      </c>
      <c r="J256">
        <f>IF(L256="Level 1", VLOOKUP(I256, UserCodes!E:F, 2, FALSE) * H256, IF(L256="Level 2", VLOOKUP(I256, UserCodes!E:F, 2, FALSE) * H256 * 0.8, 0))</f>
        <v/>
      </c>
      <c r="K256" t="inlineStr">
        <is>
          <t>Mohamed, Madar</t>
        </is>
      </c>
      <c r="L256">
        <f>VLOOKUP(K256, UserCodes!A:B, 2, FALSE)</f>
        <v/>
      </c>
    </row>
    <row r="257">
      <c r="A257" t="inlineStr">
        <is>
          <t>Yusuf, Khadija</t>
        </is>
      </c>
      <c r="B257" s="3" t="n">
        <v>46011</v>
      </c>
      <c r="C257" t="inlineStr">
        <is>
          <t>09:00 AM - 12:00 PM</t>
        </is>
      </c>
      <c r="D257" t="inlineStr">
        <is>
          <t>03:00</t>
        </is>
      </c>
      <c r="E257">
        <f>HOUR(D257)+MINUTE(D257)/100</f>
        <v/>
      </c>
      <c r="F257">
        <f>ROUND(INT(E257) + (E257 - INT(E257)) * 100 / 60, 2)</f>
        <v/>
      </c>
      <c r="G257">
        <f>E257*4</f>
        <v/>
      </c>
      <c r="H257">
        <f>LET(total, INT(E257)*60 + (E257-INT(E257))*100, blocks, QUOTIENT(total, 15), extra, MOD(total, 15), units, blocks + IF(extra&gt;=8, 1, 0), units)</f>
        <v/>
      </c>
      <c r="I257" t="inlineStr">
        <is>
          <t>O&amp;D 
97155</t>
        </is>
      </c>
      <c r="J257">
        <f>IF(L257="Level 1", VLOOKUP(I257, UserCodes!E:F, 2, FALSE) * H257, IF(L257="Level 2", VLOOKUP(I257, UserCodes!E:F, 2, FALSE) * H257 * 0.8, 0))</f>
        <v/>
      </c>
      <c r="K257" t="inlineStr">
        <is>
          <t>Muse, Adna</t>
        </is>
      </c>
      <c r="L257">
        <f>VLOOKUP(K257, UserCodes!A:B, 2, FALSE)</f>
        <v/>
      </c>
    </row>
    <row r="258">
      <c r="A258" t="inlineStr">
        <is>
          <t>Abdi, Mohamed</t>
        </is>
      </c>
      <c r="B258" s="3" t="n">
        <v>46011</v>
      </c>
      <c r="C258" t="inlineStr">
        <is>
          <t>10:35 AM - 06:00 PM</t>
        </is>
      </c>
      <c r="D258" t="inlineStr">
        <is>
          <t>07:25</t>
        </is>
      </c>
      <c r="E258">
        <f>HOUR(D258)+MINUTE(D258)/100</f>
        <v/>
      </c>
      <c r="F258">
        <f>ROUND(INT(E258) + (E258 - INT(E258)) * 100 / 60, 2)</f>
        <v/>
      </c>
      <c r="G258">
        <f>E258*4</f>
        <v/>
      </c>
      <c r="H258">
        <f>LET(total, INT(E258)*60 + (E258-INT(E258))*100, blocks, QUOTIENT(total, 15), extra, MOD(total, 15), units, blocks + IF(extra&gt;=8, 1, 0), units)</f>
        <v/>
      </c>
      <c r="I258" t="inlineStr">
        <is>
          <t>1/1 
97153</t>
        </is>
      </c>
      <c r="J258">
        <f>IF(L258="Level 1", VLOOKUP(I258, UserCodes!E:F, 2, FALSE) * H258, IF(L258="Level 2", VLOOKUP(I258, UserCodes!E:F, 2, FALSE) * H258 * 0.8, 0))</f>
        <v/>
      </c>
      <c r="K258" t="inlineStr">
        <is>
          <t>Mohamed, Samsam</t>
        </is>
      </c>
      <c r="L258">
        <f>VLOOKUP(K258, UserCodes!A:B, 2, FALSE)</f>
        <v/>
      </c>
    </row>
    <row r="259">
      <c r="A259" t="inlineStr">
        <is>
          <t>Ali, Saami</t>
        </is>
      </c>
      <c r="B259" s="3" t="n">
        <v>46011</v>
      </c>
      <c r="C259" t="inlineStr">
        <is>
          <t>10:40 AM - 06:00 PM</t>
        </is>
      </c>
      <c r="D259" t="inlineStr">
        <is>
          <t>07:20</t>
        </is>
      </c>
      <c r="E259">
        <f>HOUR(D259)+MINUTE(D259)/100</f>
        <v/>
      </c>
      <c r="F259">
        <f>ROUND(INT(E259) + (E259 - INT(E259)) * 100 / 60, 2)</f>
        <v/>
      </c>
      <c r="G259">
        <f>E259*4</f>
        <v/>
      </c>
      <c r="H259">
        <f>LET(total, INT(E259)*60 + (E259-INT(E259))*100, blocks, QUOTIENT(total, 15), extra, MOD(total, 15), units, blocks + IF(extra&gt;=8, 1, 0), units)</f>
        <v/>
      </c>
      <c r="I259" t="inlineStr">
        <is>
          <t>1/1 
97153</t>
        </is>
      </c>
      <c r="J259">
        <f>IF(L259="Level 1", VLOOKUP(I259, UserCodes!E:F, 2, FALSE) * H259, IF(L259="Level 2", VLOOKUP(I259, UserCodes!E:F, 2, FALSE) * H259 * 0.8, 0))</f>
        <v/>
      </c>
      <c r="K259" t="inlineStr">
        <is>
          <t>Muse, Aaliya</t>
        </is>
      </c>
      <c r="L259">
        <f>VLOOKUP(K259, UserCodes!A:B, 2, FALSE)</f>
        <v/>
      </c>
    </row>
    <row r="260">
      <c r="A260" t="inlineStr">
        <is>
          <t>Mohamed, Sumaya</t>
        </is>
      </c>
      <c r="B260" s="3" t="n">
        <v>46011</v>
      </c>
      <c r="C260" t="inlineStr">
        <is>
          <t>12:00 PM - 03:00 PM</t>
        </is>
      </c>
      <c r="D260" t="inlineStr">
        <is>
          <t>03:00</t>
        </is>
      </c>
      <c r="E260">
        <f>HOUR(D260)+MINUTE(D260)/100</f>
        <v/>
      </c>
      <c r="F260">
        <f>ROUND(INT(E260) + (E260 - INT(E260)) * 100 / 60, 2)</f>
        <v/>
      </c>
      <c r="G260">
        <f>E260*4</f>
        <v/>
      </c>
      <c r="H260">
        <f>LET(total, INT(E260)*60 + (E260-INT(E260))*100, blocks, QUOTIENT(total, 15), extra, MOD(total, 15), units, blocks + IF(extra&gt;=8, 1, 0), units)</f>
        <v/>
      </c>
      <c r="I260" t="inlineStr">
        <is>
          <t>O&amp;D 
97155</t>
        </is>
      </c>
      <c r="J260">
        <f>IF(L260="Level 1", VLOOKUP(I260, UserCodes!E:F, 2, FALSE) * H260, IF(L260="Level 2", VLOOKUP(I260, UserCodes!E:F, 2, FALSE) * H260 * 0.8, 0))</f>
        <v/>
      </c>
      <c r="K260" t="inlineStr">
        <is>
          <t>Muse, Adna</t>
        </is>
      </c>
      <c r="L260">
        <f>VLOOKUP(K260, UserCodes!A:B, 2, FALSE)</f>
        <v/>
      </c>
    </row>
    <row r="261">
      <c r="A261" t="inlineStr">
        <is>
          <t>Sulub, Sharmake</t>
        </is>
      </c>
      <c r="B261" s="3" t="n">
        <v>46011</v>
      </c>
      <c r="C261" t="inlineStr">
        <is>
          <t>10:00 AM - 05:30 PM</t>
        </is>
      </c>
      <c r="D261" t="inlineStr">
        <is>
          <t>07:30</t>
        </is>
      </c>
      <c r="E261">
        <f>HOUR(D261)+MINUTE(D261)/100</f>
        <v/>
      </c>
      <c r="F261">
        <f>ROUND(INT(E261) + (E261 - INT(E261)) * 100 / 60, 2)</f>
        <v/>
      </c>
      <c r="G261">
        <f>E261*4</f>
        <v/>
      </c>
      <c r="H261">
        <f>LET(total, INT(E261)*60 + (E261-INT(E261))*100, blocks, QUOTIENT(total, 15), extra, MOD(total, 15), units, blocks + IF(extra&gt;=8, 1, 0), units)</f>
        <v/>
      </c>
      <c r="I261" t="inlineStr">
        <is>
          <t>1/1 
97153</t>
        </is>
      </c>
      <c r="J261">
        <f>IF(L261="Level 1", VLOOKUP(I261, UserCodes!E:F, 2, FALSE) * H261, IF(L261="Level 2", VLOOKUP(I261, UserCodes!E:F, 2, FALSE) * H261 * 0.8, 0))</f>
        <v/>
      </c>
      <c r="K261" t="inlineStr">
        <is>
          <t>Ali, Nasteho</t>
        </is>
      </c>
      <c r="L261">
        <f>VLOOKUP(K261, UserCodes!A:B, 2, FALSE)</f>
        <v/>
      </c>
    </row>
    <row r="262">
      <c r="A262" t="inlineStr">
        <is>
          <t>Mohamed, Sumaya</t>
        </is>
      </c>
      <c r="B262" s="3" t="n">
        <v>46011</v>
      </c>
      <c r="C262" t="inlineStr">
        <is>
          <t>10:30 AM - 05:30 PM</t>
        </is>
      </c>
      <c r="D262" t="inlineStr">
        <is>
          <t>07:00</t>
        </is>
      </c>
      <c r="E262">
        <f>HOUR(D262)+MINUTE(D262)/100</f>
        <v/>
      </c>
      <c r="F262">
        <f>ROUND(INT(E262) + (E262 - INT(E262)) * 100 / 60, 2)</f>
        <v/>
      </c>
      <c r="G262">
        <f>E262*4</f>
        <v/>
      </c>
      <c r="H262">
        <f>LET(total, INT(E262)*60 + (E262-INT(E262))*100, blocks, QUOTIENT(total, 15), extra, MOD(total, 15), units, blocks + IF(extra&gt;=8, 1, 0), units)</f>
        <v/>
      </c>
      <c r="I262" t="inlineStr">
        <is>
          <t>1/1 
97153</t>
        </is>
      </c>
      <c r="J262">
        <f>IF(L262="Level 1", VLOOKUP(I262, UserCodes!E:F, 2, FALSE) * H262, IF(L262="Level 2", VLOOKUP(I262, UserCodes!E:F, 2, FALSE) * H262 * 0.8, 0))</f>
        <v/>
      </c>
      <c r="K262" t="inlineStr">
        <is>
          <t>Muse, Nawaal</t>
        </is>
      </c>
      <c r="L262">
        <f>VLOOKUP(K262, UserCodes!A:B, 2, FALSE)</f>
        <v/>
      </c>
    </row>
    <row r="263">
      <c r="A263" t="inlineStr">
        <is>
          <t>Abdi, Samira</t>
        </is>
      </c>
      <c r="B263" s="3" t="n">
        <v>46011</v>
      </c>
      <c r="C263" t="inlineStr">
        <is>
          <t>11:15 AM - 12:30 PM</t>
        </is>
      </c>
      <c r="D263" t="inlineStr">
        <is>
          <t>01:15</t>
        </is>
      </c>
      <c r="E263">
        <f>HOUR(D263)+MINUTE(D263)/100</f>
        <v/>
      </c>
      <c r="F263">
        <f>ROUND(INT(E263) + (E263 - INT(E263)) * 100 / 60, 2)</f>
        <v/>
      </c>
      <c r="G263">
        <f>E263*4</f>
        <v/>
      </c>
      <c r="H263">
        <f>LET(total, INT(E263)*60 + (E263-INT(E263))*100, blocks, QUOTIENT(total, 15), extra, MOD(total, 15), units, blocks + IF(extra&gt;=8, 1, 0), units)</f>
        <v/>
      </c>
      <c r="I263" t="inlineStr">
        <is>
          <t>1/1 
97153</t>
        </is>
      </c>
      <c r="J263">
        <f>IF(L263="Level 1", VLOOKUP(I263, UserCodes!E:F, 2, FALSE) * H263, IF(L263="Level 2", VLOOKUP(I263, UserCodes!E:F, 2, FALSE) * H263 * 0.8, 0))</f>
        <v/>
      </c>
      <c r="K263" t="inlineStr">
        <is>
          <t>Osman, Basra</t>
        </is>
      </c>
      <c r="L263">
        <f>VLOOKUP(K263, UserCodes!A:B, 2, FALSE)</f>
        <v/>
      </c>
    </row>
    <row r="264">
      <c r="A264" t="inlineStr">
        <is>
          <t>Jama, Khadija</t>
        </is>
      </c>
      <c r="B264" s="3" t="n">
        <v>46011</v>
      </c>
      <c r="C264" t="inlineStr">
        <is>
          <t>10:30 AM - 06:00 PM</t>
        </is>
      </c>
      <c r="D264" t="inlineStr">
        <is>
          <t>07:30</t>
        </is>
      </c>
      <c r="E264">
        <f>HOUR(D264)+MINUTE(D264)/100</f>
        <v/>
      </c>
      <c r="F264">
        <f>ROUND(INT(E264) + (E264 - INT(E264)) * 100 / 60, 2)</f>
        <v/>
      </c>
      <c r="G264">
        <f>E264*4</f>
        <v/>
      </c>
      <c r="H264">
        <f>LET(total, INT(E264)*60 + (E264-INT(E264))*100, blocks, QUOTIENT(total, 15), extra, MOD(total, 15), units, blocks + IF(extra&gt;=8, 1, 0), units)</f>
        <v/>
      </c>
      <c r="I264" t="inlineStr">
        <is>
          <t>1/1 
97153</t>
        </is>
      </c>
      <c r="J264">
        <f>IF(L264="Level 1", VLOOKUP(I264, UserCodes!E:F, 2, FALSE) * H264, IF(L264="Level 2", VLOOKUP(I264, UserCodes!E:F, 2, FALSE) * H264 * 0.8, 0))</f>
        <v/>
      </c>
      <c r="K264" t="inlineStr">
        <is>
          <t>Ran, Sameya</t>
        </is>
      </c>
      <c r="L264">
        <f>VLOOKUP(K264, UserCodes!A:B, 2, FALSE)</f>
        <v/>
      </c>
    </row>
    <row r="265">
      <c r="A265" t="inlineStr">
        <is>
          <t>Omar, Abdiweli</t>
        </is>
      </c>
      <c r="B265" s="3" t="n">
        <v>46012</v>
      </c>
      <c r="C265" t="inlineStr">
        <is>
          <t>01:00 PM - 06:00 PM</t>
        </is>
      </c>
      <c r="D265" t="inlineStr">
        <is>
          <t>05:00</t>
        </is>
      </c>
      <c r="E265">
        <f>HOUR(D265)+MINUTE(D265)/100</f>
        <v/>
      </c>
      <c r="F265">
        <f>ROUND(INT(E265) + (E265 - INT(E265)) * 100 / 60, 2)</f>
        <v/>
      </c>
      <c r="G265">
        <f>E265*4</f>
        <v/>
      </c>
      <c r="H265">
        <f>LET(total, INT(E265)*60 + (E265-INT(E265))*100, blocks, QUOTIENT(total, 15), extra, MOD(total, 15), units, blocks + IF(extra&gt;=8, 1, 0), units)</f>
        <v/>
      </c>
      <c r="J265">
        <f>IF(L265="Level 1", VLOOKUP(I265, UserCodes!E:F, 2, FALSE) * H265, IF(L265="Level 2", VLOOKUP(I265, UserCodes!E:F, 2, FALSE) * H265 * 0.8, 0))</f>
        <v/>
      </c>
      <c r="K265" t="inlineStr">
        <is>
          <t>Webi3, Amina</t>
        </is>
      </c>
      <c r="L265">
        <f>VLOOKUP(K265, UserCodes!A:B, 2, FALSE)</f>
        <v/>
      </c>
      <c r="M265" t="inlineStr">
        <is>
          <t>No schedule</t>
        </is>
      </c>
    </row>
    <row r="266">
      <c r="A266" t="inlineStr">
        <is>
          <t>Abdi, Safia</t>
        </is>
      </c>
      <c r="B266" s="3" t="n">
        <v>46012</v>
      </c>
      <c r="C266" t="inlineStr">
        <is>
          <t>01:30 AM - 03:45 PM</t>
        </is>
      </c>
      <c r="D266" t="inlineStr">
        <is>
          <t>14:15</t>
        </is>
      </c>
      <c r="E266">
        <f>HOUR(D266)+MINUTE(D266)/100</f>
        <v/>
      </c>
      <c r="F266">
        <f>ROUND(INT(E266) + (E266 - INT(E266)) * 100 / 60, 2)</f>
        <v/>
      </c>
      <c r="G266">
        <f>E266*4</f>
        <v/>
      </c>
      <c r="H266">
        <f>LET(total, INT(E266)*60 + (E266-INT(E266))*100, blocks, QUOTIENT(total, 15), extra, MOD(total, 15), units, blocks + IF(extra&gt;=8, 1, 0), units)</f>
        <v/>
      </c>
      <c r="J266">
        <f>IF(L266="Level 1", VLOOKUP(I266, UserCodes!E:F, 2, FALSE) * H266, IF(L266="Level 2", VLOOKUP(I266, UserCodes!E:F, 2, FALSE) * H266 * 0.8, 0))</f>
        <v/>
      </c>
      <c r="K266" t="inlineStr">
        <is>
          <t>Ahmed, Jama</t>
        </is>
      </c>
      <c r="L266">
        <f>VLOOKUP(K266, UserCodes!A:B, 2, FALSE)</f>
        <v/>
      </c>
      <c r="M266" t="inlineStr">
        <is>
          <t>No schedule</t>
        </is>
      </c>
    </row>
    <row r="267">
      <c r="A267" t="inlineStr">
        <is>
          <t>Yusuf 2, Khadra</t>
        </is>
      </c>
      <c r="B267" s="3" t="n">
        <v>46012</v>
      </c>
      <c r="C267" t="inlineStr">
        <is>
          <t>10:00 AM - 12:30 PM</t>
        </is>
      </c>
      <c r="D267" t="inlineStr">
        <is>
          <t>02:30</t>
        </is>
      </c>
      <c r="E267">
        <f>HOUR(D267)+MINUTE(D267)/100</f>
        <v/>
      </c>
      <c r="F267">
        <f>ROUND(INT(E267) + (E267 - INT(E267)) * 100 / 60, 2)</f>
        <v/>
      </c>
      <c r="G267">
        <f>E267*4</f>
        <v/>
      </c>
      <c r="H267">
        <f>LET(total, INT(E267)*60 + (E267-INT(E267))*100, blocks, QUOTIENT(total, 15), extra, MOD(total, 15), units, blocks + IF(extra&gt;=8, 1, 0), units)</f>
        <v/>
      </c>
      <c r="J267">
        <f>IF(L267="Level 1", VLOOKUP(I267, UserCodes!E:F, 2, FALSE) * H267, IF(L267="Level 2", VLOOKUP(I267, UserCodes!E:F, 2, FALSE) * H267 * 0.8, 0))</f>
        <v/>
      </c>
      <c r="K267" t="inlineStr">
        <is>
          <t>Ahmed, Jama</t>
        </is>
      </c>
      <c r="L267">
        <f>VLOOKUP(K267, UserCodes!A:B, 2, FALSE)</f>
        <v/>
      </c>
      <c r="M267" t="inlineStr">
        <is>
          <t>No schedule</t>
        </is>
      </c>
    </row>
    <row r="268">
      <c r="A268" t="inlineStr">
        <is>
          <t>Yusuf, Khadija</t>
        </is>
      </c>
      <c r="B268" s="3" t="n">
        <v>46013</v>
      </c>
      <c r="C268" t="inlineStr">
        <is>
          <t>01:30 PM - 08:00 PM</t>
        </is>
      </c>
      <c r="D268" t="inlineStr">
        <is>
          <t>06:30</t>
        </is>
      </c>
      <c r="E268">
        <f>HOUR(D268)+MINUTE(D268)/100</f>
        <v/>
      </c>
      <c r="F268">
        <f>ROUND(INT(E268) + (E268 - INT(E268)) * 100 / 60, 2)</f>
        <v/>
      </c>
      <c r="G268">
        <f>E268*4</f>
        <v/>
      </c>
      <c r="H268">
        <f>LET(total, INT(E268)*60 + (E268-INT(E268))*100, blocks, QUOTIENT(total, 15), extra, MOD(total, 15), units, blocks + IF(extra&gt;=8, 1, 0), units)</f>
        <v/>
      </c>
      <c r="I268" t="inlineStr">
        <is>
          <t>1/1 
97153</t>
        </is>
      </c>
      <c r="J268">
        <f>IF(L268="Level 1", VLOOKUP(I268, UserCodes!E:F, 2, FALSE) * H268, IF(L268="Level 2", VLOOKUP(I268, UserCodes!E:F, 2, FALSE) * H268 * 0.8, 0))</f>
        <v/>
      </c>
      <c r="K268" t="inlineStr">
        <is>
          <t>Muse, Ayni</t>
        </is>
      </c>
      <c r="L268">
        <f>VLOOKUP(K268, UserCodes!A:B, 2, FALSE)</f>
        <v/>
      </c>
    </row>
    <row r="269">
      <c r="A269" t="inlineStr">
        <is>
          <t>Abdi, Mohamed</t>
        </is>
      </c>
      <c r="B269" s="3" t="n">
        <v>46013</v>
      </c>
      <c r="C269" t="inlineStr">
        <is>
          <t>03:00pm - 08:00pm</t>
        </is>
      </c>
      <c r="E269">
        <f>HOUR(D269)+MINUTE(D269)/100</f>
        <v/>
      </c>
      <c r="F269">
        <f>ROUND(INT(E269) + (E269 - INT(E269)) * 100 / 60, 2)</f>
        <v/>
      </c>
      <c r="G269">
        <f>E269*4</f>
        <v/>
      </c>
      <c r="H269">
        <f>LET(total, INT(E269)*60 + (E269-INT(E269))*100, blocks, QUOTIENT(total, 15), extra, MOD(total, 15), units, blocks + IF(extra&gt;=8, 1, 0), units)</f>
        <v/>
      </c>
      <c r="I269" t="inlineStr">
        <is>
          <t>1/1 
97153</t>
        </is>
      </c>
      <c r="J269">
        <f>IF(L269="Level 1", VLOOKUP(I269, UserCodes!E:F, 2, FALSE) * H269, IF(L269="Level 2", VLOOKUP(I269, UserCodes!E:F, 2, FALSE) * H269 * 0.8, 0))</f>
        <v/>
      </c>
      <c r="K269" t="inlineStr">
        <is>
          <t>Mohamed, Mohamed</t>
        </is>
      </c>
      <c r="L269">
        <f>VLOOKUP(K269, UserCodes!A:B, 2, FALSE)</f>
        <v/>
      </c>
      <c r="M269" t="inlineStr">
        <is>
          <t>No note</t>
        </is>
      </c>
    </row>
    <row r="270">
      <c r="A270" t="inlineStr">
        <is>
          <t>Yusuf 2, Khadra</t>
        </is>
      </c>
      <c r="B270" s="3" t="n">
        <v>46013</v>
      </c>
      <c r="C270" t="inlineStr">
        <is>
          <t>10:00 AM - 12:30 PM</t>
        </is>
      </c>
      <c r="D270" t="inlineStr">
        <is>
          <t>02:30</t>
        </is>
      </c>
      <c r="E270">
        <f>HOUR(D270)+MINUTE(D270)/100</f>
        <v/>
      </c>
      <c r="F270">
        <f>ROUND(INT(E270) + (E270 - INT(E270)) * 100 / 60, 2)</f>
        <v/>
      </c>
      <c r="G270">
        <f>E270*4</f>
        <v/>
      </c>
      <c r="H270">
        <f>LET(total, INT(E270)*60 + (E270-INT(E270))*100, blocks, QUOTIENT(total, 15), extra, MOD(total, 15), units, blocks + IF(extra&gt;=8, 1, 0), units)</f>
        <v/>
      </c>
      <c r="I270" t="inlineStr">
        <is>
          <t>1/1 
97153</t>
        </is>
      </c>
      <c r="J270">
        <f>IF(L270="Level 1", VLOOKUP(I270, UserCodes!E:F, 2, FALSE) * H270, IF(L270="Level 2", VLOOKUP(I270, UserCodes!E:F, 2, FALSE) * H270 * 0.8, 0))</f>
        <v/>
      </c>
      <c r="K270" t="inlineStr">
        <is>
          <t>Hashi, Ridwan</t>
        </is>
      </c>
      <c r="L270">
        <f>VLOOKUP(K270, UserCodes!A:B, 2, FALSE)</f>
        <v/>
      </c>
    </row>
    <row r="271">
      <c r="A271" t="inlineStr">
        <is>
          <t>Abdi, Ahmed</t>
        </is>
      </c>
      <c r="B271" s="3" t="n">
        <v>46013</v>
      </c>
      <c r="C271" t="inlineStr">
        <is>
          <t>03:00 PM - 08:00 PM</t>
        </is>
      </c>
      <c r="D271" t="inlineStr">
        <is>
          <t>05:00</t>
        </is>
      </c>
      <c r="E271">
        <f>HOUR(D271)+MINUTE(D271)/100</f>
        <v/>
      </c>
      <c r="F271">
        <f>ROUND(INT(E271) + (E271 - INT(E271)) * 100 / 60, 2)</f>
        <v/>
      </c>
      <c r="G271">
        <f>E271*4</f>
        <v/>
      </c>
      <c r="H271">
        <f>LET(total, INT(E271)*60 + (E271-INT(E271))*100, blocks, QUOTIENT(total, 15), extra, MOD(total, 15), units, blocks + IF(extra&gt;=8, 1, 0), units)</f>
        <v/>
      </c>
      <c r="I271" t="inlineStr">
        <is>
          <t>1/1 
97153</t>
        </is>
      </c>
      <c r="J271">
        <f>IF(L271="Level 1", VLOOKUP(I271, UserCodes!E:F, 2, FALSE) * H271, IF(L271="Level 2", VLOOKUP(I271, UserCodes!E:F, 2, FALSE) * H271 * 0.8, 0))</f>
        <v/>
      </c>
      <c r="K271" t="inlineStr">
        <is>
          <t>Barqab, Mushtaq</t>
        </is>
      </c>
      <c r="L271">
        <f>VLOOKUP(K271, UserCodes!A:B, 2, FALSE)</f>
        <v/>
      </c>
    </row>
    <row r="272">
      <c r="A272" t="inlineStr">
        <is>
          <t>Abdi, Salman</t>
        </is>
      </c>
      <c r="B272" s="3" t="n">
        <v>46013</v>
      </c>
      <c r="C272" t="inlineStr">
        <is>
          <t>06:39 PM - 08:00 PM</t>
        </is>
      </c>
      <c r="D272" t="inlineStr">
        <is>
          <t>01:21</t>
        </is>
      </c>
      <c r="E272">
        <f>HOUR(D272)+MINUTE(D272)/100</f>
        <v/>
      </c>
      <c r="F272">
        <f>ROUND(INT(E272) + (E272 - INT(E272)) * 100 / 60, 2)</f>
        <v/>
      </c>
      <c r="G272">
        <f>E272*4</f>
        <v/>
      </c>
      <c r="H272">
        <f>LET(total, INT(E272)*60 + (E272-INT(E272))*100, blocks, QUOTIENT(total, 15), extra, MOD(total, 15), units, blocks + IF(extra&gt;=8, 1, 0), units)</f>
        <v/>
      </c>
      <c r="I272" t="inlineStr">
        <is>
          <t>1/1 
97153</t>
        </is>
      </c>
      <c r="J272">
        <f>IF(L272="Level 1", VLOOKUP(I272, UserCodes!E:F, 2, FALSE) * H272, IF(L272="Level 2", VLOOKUP(I272, UserCodes!E:F, 2, FALSE) * H272 * 0.8, 0))</f>
        <v/>
      </c>
      <c r="K272" t="inlineStr">
        <is>
          <t>Omar, Mohamed</t>
        </is>
      </c>
      <c r="L272">
        <f>VLOOKUP(K272, UserCodes!A:B, 2, FALSE)</f>
        <v/>
      </c>
    </row>
    <row r="273">
      <c r="A273" t="inlineStr">
        <is>
          <t>Abdi, Salman</t>
        </is>
      </c>
      <c r="B273" s="3" t="n">
        <v>46013</v>
      </c>
      <c r="C273" t="inlineStr">
        <is>
          <t>03:00 PM - 06:00 PM</t>
        </is>
      </c>
      <c r="D273" t="inlineStr">
        <is>
          <t>03:00</t>
        </is>
      </c>
      <c r="E273">
        <f>HOUR(D273)+MINUTE(D273)/100</f>
        <v/>
      </c>
      <c r="F273">
        <f>ROUND(INT(E273) + (E273 - INT(E273)) * 100 / 60, 2)</f>
        <v/>
      </c>
      <c r="G273">
        <f>E273*4</f>
        <v/>
      </c>
      <c r="H273">
        <f>LET(total, INT(E273)*60 + (E273-INT(E273))*100, blocks, QUOTIENT(total, 15), extra, MOD(total, 15), units, blocks + IF(extra&gt;=8, 1, 0), units)</f>
        <v/>
      </c>
      <c r="I273" t="inlineStr">
        <is>
          <t>O&amp;D 
97155</t>
        </is>
      </c>
      <c r="J273">
        <f>IF(L273="Level 1", VLOOKUP(I273, UserCodes!E:F, 2, FALSE) * H273, IF(L273="Level 2", VLOOKUP(I273, UserCodes!E:F, 2, FALSE) * H273 * 0.8, 0))</f>
        <v/>
      </c>
      <c r="K273" t="inlineStr">
        <is>
          <t>Mohamed, Madar</t>
        </is>
      </c>
      <c r="L273">
        <f>VLOOKUP(K273, UserCodes!A:B, 2, FALSE)</f>
        <v/>
      </c>
    </row>
    <row r="274">
      <c r="A274" t="inlineStr">
        <is>
          <t>Abdi, Salman</t>
        </is>
      </c>
      <c r="B274" s="3" t="n">
        <v>46013</v>
      </c>
      <c r="C274" t="inlineStr">
        <is>
          <t>12:00 PM - 06:09 PM</t>
        </is>
      </c>
      <c r="D274" t="inlineStr">
        <is>
          <t>06:09</t>
        </is>
      </c>
      <c r="E274">
        <f>HOUR(D274)+MINUTE(D274)/100</f>
        <v/>
      </c>
      <c r="F274">
        <f>ROUND(INT(E274) + (E274 - INT(E274)) * 100 / 60, 2)</f>
        <v/>
      </c>
      <c r="G274">
        <f>E274*4</f>
        <v/>
      </c>
      <c r="H274">
        <f>LET(total, INT(E274)*60 + (E274-INT(E274))*100, blocks, QUOTIENT(total, 15), extra, MOD(total, 15), units, blocks + IF(extra&gt;=8, 1, 0), units)</f>
        <v/>
      </c>
      <c r="I274" t="inlineStr">
        <is>
          <t>1/1 
97153</t>
        </is>
      </c>
      <c r="J274">
        <f>IF(L274="Level 1", VLOOKUP(I274, UserCodes!E:F, 2, FALSE) * H274, IF(L274="Level 2", VLOOKUP(I274, UserCodes!E:F, 2, FALSE) * H274 * 0.8, 0))</f>
        <v/>
      </c>
      <c r="K274" t="inlineStr">
        <is>
          <t>Omar, Mohamed</t>
        </is>
      </c>
      <c r="L274">
        <f>VLOOKUP(K274, UserCodes!A:B, 2, FALSE)</f>
        <v/>
      </c>
    </row>
    <row r="275">
      <c r="A275" t="inlineStr">
        <is>
          <t>Abdi, Samira</t>
        </is>
      </c>
      <c r="B275" s="3" t="n">
        <v>46013</v>
      </c>
      <c r="C275" t="inlineStr">
        <is>
          <t>04:30 PM - 08:00 PM</t>
        </is>
      </c>
      <c r="D275" t="inlineStr">
        <is>
          <t>03:30</t>
        </is>
      </c>
      <c r="E275">
        <f>HOUR(D275)+MINUTE(D275)/100</f>
        <v/>
      </c>
      <c r="F275">
        <f>ROUND(INT(E275) + (E275 - INT(E275)) * 100 / 60, 2)</f>
        <v/>
      </c>
      <c r="G275">
        <f>E275*4</f>
        <v/>
      </c>
      <c r="H275">
        <f>LET(total, INT(E275)*60 + (E275-INT(E275))*100, blocks, QUOTIENT(total, 15), extra, MOD(total, 15), units, blocks + IF(extra&gt;=8, 1, 0), units)</f>
        <v/>
      </c>
      <c r="I275" t="inlineStr">
        <is>
          <t>1/1 
97153</t>
        </is>
      </c>
      <c r="J275">
        <f>IF(L275="Level 1", VLOOKUP(I275, UserCodes!E:F, 2, FALSE) * H275, IF(L275="Level 2", VLOOKUP(I275, UserCodes!E:F, 2, FALSE) * H275 * 0.8, 0))</f>
        <v/>
      </c>
      <c r="K275" t="inlineStr">
        <is>
          <t>Ali, Naima</t>
        </is>
      </c>
      <c r="L275">
        <f>VLOOKUP(K275, UserCodes!A:B, 2, FALSE)</f>
        <v/>
      </c>
    </row>
    <row r="276">
      <c r="A276" t="inlineStr">
        <is>
          <t>Abdi, Samira</t>
        </is>
      </c>
      <c r="B276" s="3" t="n">
        <v>46013</v>
      </c>
      <c r="C276" t="inlineStr">
        <is>
          <t>12:00 PM - 04:00 PM</t>
        </is>
      </c>
      <c r="D276" t="inlineStr">
        <is>
          <t>04:00</t>
        </is>
      </c>
      <c r="E276">
        <f>HOUR(D276)+MINUTE(D276)/100</f>
        <v/>
      </c>
      <c r="F276">
        <f>ROUND(INT(E276) + (E276 - INT(E276)) * 100 / 60, 2)</f>
        <v/>
      </c>
      <c r="G276">
        <f>E276*4</f>
        <v/>
      </c>
      <c r="H276">
        <f>LET(total, INT(E276)*60 + (E276-INT(E276))*100, blocks, QUOTIENT(total, 15), extra, MOD(total, 15), units, blocks + IF(extra&gt;=8, 1, 0), units)</f>
        <v/>
      </c>
      <c r="I276" t="inlineStr">
        <is>
          <t>1/1 
97153</t>
        </is>
      </c>
      <c r="J276">
        <f>IF(L276="Level 1", VLOOKUP(I276, UserCodes!E:F, 2, FALSE) * H276, IF(L276="Level 2", VLOOKUP(I276, UserCodes!E:F, 2, FALSE) * H276 * 0.8, 0))</f>
        <v/>
      </c>
      <c r="K276" t="inlineStr">
        <is>
          <t>Ali, Naima</t>
        </is>
      </c>
      <c r="L276">
        <f>VLOOKUP(K276, UserCodes!A:B, 2, FALSE)</f>
        <v/>
      </c>
    </row>
    <row r="277">
      <c r="A277" t="inlineStr">
        <is>
          <t>Abdi, Samira</t>
        </is>
      </c>
      <c r="B277" s="3" t="n">
        <v>46013</v>
      </c>
      <c r="C277" t="inlineStr">
        <is>
          <t>09:30 AM - 11:45 AM</t>
        </is>
      </c>
      <c r="D277" t="inlineStr">
        <is>
          <t>02:15</t>
        </is>
      </c>
      <c r="E277">
        <f>HOUR(D277)+MINUTE(D277)/100</f>
        <v/>
      </c>
      <c r="F277">
        <f>ROUND(INT(E277) + (E277 - INT(E277)) * 100 / 60, 2)</f>
        <v/>
      </c>
      <c r="G277">
        <f>E277*4</f>
        <v/>
      </c>
      <c r="H277">
        <f>LET(total, INT(E277)*60 + (E277-INT(E277))*100, blocks, QUOTIENT(total, 15), extra, MOD(total, 15), units, blocks + IF(extra&gt;=8, 1, 0), units)</f>
        <v/>
      </c>
      <c r="J277">
        <f>IF(L277="Level 1", VLOOKUP(I277, UserCodes!E:F, 2, FALSE) * H277, IF(L277="Level 2", VLOOKUP(I277, UserCodes!E:F, 2, FALSE) * H277 * 0.8, 0))</f>
        <v/>
      </c>
      <c r="K277" t="inlineStr">
        <is>
          <t>Ahmed, Jama</t>
        </is>
      </c>
      <c r="L277">
        <f>VLOOKUP(K277, UserCodes!A:B, 2, FALSE)</f>
        <v/>
      </c>
      <c r="M277" t="inlineStr">
        <is>
          <t>No schedule</t>
        </is>
      </c>
    </row>
    <row r="278">
      <c r="A278" t="inlineStr">
        <is>
          <t>Abdi, Mohamed</t>
        </is>
      </c>
      <c r="B278" s="3" t="n">
        <v>46013</v>
      </c>
      <c r="C278" t="inlineStr">
        <is>
          <t>07:00pm - 08:00pm</t>
        </is>
      </c>
      <c r="E278">
        <f>HOUR(D278)+MINUTE(D278)/100</f>
        <v/>
      </c>
      <c r="F278">
        <f>ROUND(INT(E278) + (E278 - INT(E278)) * 100 / 60, 2)</f>
        <v/>
      </c>
      <c r="G278">
        <f>E278*4</f>
        <v/>
      </c>
      <c r="H278">
        <f>LET(total, INT(E278)*60 + (E278-INT(E278))*100, blocks, QUOTIENT(total, 15), extra, MOD(total, 15), units, blocks + IF(extra&gt;=8, 1, 0), units)</f>
        <v/>
      </c>
      <c r="I278" t="inlineStr">
        <is>
          <t>O&amp;D 
97155</t>
        </is>
      </c>
      <c r="J278">
        <f>IF(L278="Level 1", VLOOKUP(I278, UserCodes!E:F, 2, FALSE) * H278, IF(L278="Level 2", VLOOKUP(I278, UserCodes!E:F, 2, FALSE) * H278 * 0.8, 0))</f>
        <v/>
      </c>
      <c r="K278" t="inlineStr">
        <is>
          <t>Ibrahim, Ahmed</t>
        </is>
      </c>
      <c r="L278">
        <f>VLOOKUP(K278, UserCodes!A:B, 2, FALSE)</f>
        <v/>
      </c>
      <c r="M278" t="inlineStr">
        <is>
          <t>No note</t>
        </is>
      </c>
    </row>
    <row r="279">
      <c r="A279" t="inlineStr">
        <is>
          <t>Abdulkadir, Nadra</t>
        </is>
      </c>
      <c r="B279" s="3" t="n">
        <v>46013</v>
      </c>
      <c r="C279" t="inlineStr">
        <is>
          <t>04:30 PM - 06:30 PM</t>
        </is>
      </c>
      <c r="D279" t="inlineStr">
        <is>
          <t>02:00</t>
        </is>
      </c>
      <c r="E279">
        <f>HOUR(D279)+MINUTE(D279)/100</f>
        <v/>
      </c>
      <c r="F279">
        <f>ROUND(INT(E279) + (E279 - INT(E279)) * 100 / 60, 2)</f>
        <v/>
      </c>
      <c r="G279">
        <f>E279*4</f>
        <v/>
      </c>
      <c r="H279">
        <f>LET(total, INT(E279)*60 + (E279-INT(E279))*100, blocks, QUOTIENT(total, 15), extra, MOD(total, 15), units, blocks + IF(extra&gt;=8, 1, 0), units)</f>
        <v/>
      </c>
      <c r="I279" t="inlineStr">
        <is>
          <t>1/1 
97153</t>
        </is>
      </c>
      <c r="J279">
        <f>IF(L279="Level 1", VLOOKUP(I279, UserCodes!E:F, 2, FALSE) * H279, IF(L279="Level 2", VLOOKUP(I279, UserCodes!E:F, 2, FALSE) * H279 * 0.8, 0))</f>
        <v/>
      </c>
      <c r="K279" t="inlineStr">
        <is>
          <t>ALI, AMIRA</t>
        </is>
      </c>
      <c r="L279">
        <f>VLOOKUP(K279, UserCodes!A:B, 2, FALSE)</f>
        <v/>
      </c>
    </row>
    <row r="280">
      <c r="A280" t="inlineStr">
        <is>
          <t>Yusuf 2, Khadra</t>
        </is>
      </c>
      <c r="B280" s="3" t="n">
        <v>46013</v>
      </c>
      <c r="C280" t="inlineStr">
        <is>
          <t>10:00 AM - 12:30 PM</t>
        </is>
      </c>
      <c r="D280" t="inlineStr">
        <is>
          <t>02:30</t>
        </is>
      </c>
      <c r="E280">
        <f>HOUR(D280)+MINUTE(D280)/100</f>
        <v/>
      </c>
      <c r="F280">
        <f>ROUND(INT(E280) + (E280 - INT(E280)) * 100 / 60, 2)</f>
        <v/>
      </c>
      <c r="G280">
        <f>E280*4</f>
        <v/>
      </c>
      <c r="H280">
        <f>LET(total, INT(E280)*60 + (E280-INT(E280))*100, blocks, QUOTIENT(total, 15), extra, MOD(total, 15), units, blocks + IF(extra&gt;=8, 1, 0), units)</f>
        <v/>
      </c>
      <c r="I280" t="inlineStr">
        <is>
          <t>O&amp;D 
97155</t>
        </is>
      </c>
      <c r="J280">
        <f>IF(L280="Level 1", VLOOKUP(I280, UserCodes!E:F, 2, FALSE) * H280, IF(L280="Level 2", VLOOKUP(I280, UserCodes!E:F, 2, FALSE) * H280 * 0.8, 0))</f>
        <v/>
      </c>
      <c r="K280" t="inlineStr">
        <is>
          <t>Muse, Adna</t>
        </is>
      </c>
      <c r="L280">
        <f>VLOOKUP(K280, UserCodes!A:B, 2, FALSE)</f>
        <v/>
      </c>
    </row>
    <row r="281">
      <c r="A281" t="inlineStr">
        <is>
          <t>Abdulkadir, Nadra</t>
        </is>
      </c>
      <c r="B281" s="3" t="n">
        <v>46013</v>
      </c>
      <c r="C281" t="inlineStr">
        <is>
          <t>12:00 PM - 03:00 PM</t>
        </is>
      </c>
      <c r="D281" t="inlineStr">
        <is>
          <t>03:00</t>
        </is>
      </c>
      <c r="E281">
        <f>HOUR(D281)+MINUTE(D281)/100</f>
        <v/>
      </c>
      <c r="F281">
        <f>ROUND(INT(E281) + (E281 - INT(E281)) * 100 / 60, 2)</f>
        <v/>
      </c>
      <c r="G281">
        <f>E281*4</f>
        <v/>
      </c>
      <c r="H281">
        <f>LET(total, INT(E281)*60 + (E281-INT(E281))*100, blocks, QUOTIENT(total, 15), extra, MOD(total, 15), units, blocks + IF(extra&gt;=8, 1, 0), units)</f>
        <v/>
      </c>
      <c r="I281" t="inlineStr">
        <is>
          <t>O&amp;D 
97155</t>
        </is>
      </c>
      <c r="J281">
        <f>IF(L281="Level 1", VLOOKUP(I281, UserCodes!E:F, 2, FALSE) * H281, IF(L281="Level 2", VLOOKUP(I281, UserCodes!E:F, 2, FALSE) * H281 * 0.8, 0))</f>
        <v/>
      </c>
      <c r="K281" t="inlineStr">
        <is>
          <t>Mohamed, Madar</t>
        </is>
      </c>
      <c r="L281">
        <f>VLOOKUP(K281, UserCodes!A:B, 2, FALSE)</f>
        <v/>
      </c>
    </row>
    <row r="282">
      <c r="A282" t="inlineStr">
        <is>
          <t>Abdulkadir, Nadra</t>
        </is>
      </c>
      <c r="B282" s="3" t="n">
        <v>46013</v>
      </c>
      <c r="C282" t="inlineStr">
        <is>
          <t>11:30 AM - 04:00 PM</t>
        </is>
      </c>
      <c r="D282" t="inlineStr">
        <is>
          <t>04:30</t>
        </is>
      </c>
      <c r="E282">
        <f>HOUR(D282)+MINUTE(D282)/100</f>
        <v/>
      </c>
      <c r="F282">
        <f>ROUND(INT(E282) + (E282 - INT(E282)) * 100 / 60, 2)</f>
        <v/>
      </c>
      <c r="G282">
        <f>E282*4</f>
        <v/>
      </c>
      <c r="H282">
        <f>LET(total, INT(E282)*60 + (E282-INT(E282))*100, blocks, QUOTIENT(total, 15), extra, MOD(total, 15), units, blocks + IF(extra&gt;=8, 1, 0), units)</f>
        <v/>
      </c>
      <c r="I282" t="inlineStr">
        <is>
          <t>1/1 
97153</t>
        </is>
      </c>
      <c r="J282">
        <f>IF(L282="Level 1", VLOOKUP(I282, UserCodes!E:F, 2, FALSE) * H282, IF(L282="Level 2", VLOOKUP(I282, UserCodes!E:F, 2, FALSE) * H282 * 0.8, 0))</f>
        <v/>
      </c>
      <c r="K282" t="inlineStr">
        <is>
          <t>ALI, AMIRA</t>
        </is>
      </c>
      <c r="L282">
        <f>VLOOKUP(K282, UserCodes!A:B, 2, FALSE)</f>
        <v/>
      </c>
    </row>
    <row r="283">
      <c r="A283" t="inlineStr">
        <is>
          <t>Abdi, Ahmed</t>
        </is>
      </c>
      <c r="B283" s="3" t="n">
        <v>46013</v>
      </c>
      <c r="C283" t="inlineStr">
        <is>
          <t>04:00pm - 07:00pm</t>
        </is>
      </c>
      <c r="E283">
        <f>HOUR(D283)+MINUTE(D283)/100</f>
        <v/>
      </c>
      <c r="F283">
        <f>ROUND(INT(E283) + (E283 - INT(E283)) * 100 / 60, 2)</f>
        <v/>
      </c>
      <c r="G283">
        <f>E283*4</f>
        <v/>
      </c>
      <c r="H283">
        <f>LET(total, INT(E283)*60 + (E283-INT(E283))*100, blocks, QUOTIENT(total, 15), extra, MOD(total, 15), units, blocks + IF(extra&gt;=8, 1, 0), units)</f>
        <v/>
      </c>
      <c r="I283" t="inlineStr">
        <is>
          <t>O&amp;D 
97155</t>
        </is>
      </c>
      <c r="J283">
        <f>IF(L283="Level 1", VLOOKUP(I283, UserCodes!E:F, 2, FALSE) * H283, IF(L283="Level 2", VLOOKUP(I283, UserCodes!E:F, 2, FALSE) * H283 * 0.8, 0))</f>
        <v/>
      </c>
      <c r="K283" t="inlineStr">
        <is>
          <t>Ibrahim, Ahmed</t>
        </is>
      </c>
      <c r="L283">
        <f>VLOOKUP(K283, UserCodes!A:B, 2, FALSE)</f>
        <v/>
      </c>
      <c r="M283" t="inlineStr">
        <is>
          <t>No note</t>
        </is>
      </c>
    </row>
    <row r="284">
      <c r="A284" t="inlineStr">
        <is>
          <t>Abdulkadir, Nadra</t>
        </is>
      </c>
      <c r="B284" s="3" t="n">
        <v>46013</v>
      </c>
      <c r="C284" t="inlineStr">
        <is>
          <t>01:00 PM - 03:15 PM</t>
        </is>
      </c>
      <c r="D284" t="inlineStr">
        <is>
          <t>02:15</t>
        </is>
      </c>
      <c r="E284">
        <f>HOUR(D284)+MINUTE(D284)/100</f>
        <v/>
      </c>
      <c r="F284">
        <f>ROUND(INT(E284) + (E284 - INT(E284)) * 100 / 60, 2)</f>
        <v/>
      </c>
      <c r="G284">
        <f>E284*4</f>
        <v/>
      </c>
      <c r="H284">
        <f>LET(total, INT(E284)*60 + (E284-INT(E284))*100, blocks, QUOTIENT(total, 15), extra, MOD(total, 15), units, blocks + IF(extra&gt;=8, 1, 0), units)</f>
        <v/>
      </c>
      <c r="J284">
        <f>IF(L284="Level 1", VLOOKUP(I284, UserCodes!E:F, 2, FALSE) * H284, IF(L284="Level 2", VLOOKUP(I284, UserCodes!E:F, 2, FALSE) * H284 * 0.8, 0))</f>
        <v/>
      </c>
      <c r="K284" t="inlineStr">
        <is>
          <t>Ahmed, Jama</t>
        </is>
      </c>
      <c r="L284">
        <f>VLOOKUP(K284, UserCodes!A:B, 2, FALSE)</f>
        <v/>
      </c>
      <c r="M284" t="inlineStr">
        <is>
          <t>No schedule</t>
        </is>
      </c>
    </row>
    <row r="285">
      <c r="A285" t="inlineStr">
        <is>
          <t>Abdullahi, Abdirahman</t>
        </is>
      </c>
      <c r="B285" s="3" t="n">
        <v>46013</v>
      </c>
      <c r="C285" t="inlineStr">
        <is>
          <t>10:30 AM - 05:00 PM</t>
        </is>
      </c>
      <c r="D285" t="inlineStr">
        <is>
          <t>06:30</t>
        </is>
      </c>
      <c r="E285">
        <f>HOUR(D285)+MINUTE(D285)/100</f>
        <v/>
      </c>
      <c r="F285">
        <f>ROUND(INT(E285) + (E285 - INT(E285)) * 100 / 60, 2)</f>
        <v/>
      </c>
      <c r="G285">
        <f>E285*4</f>
        <v/>
      </c>
      <c r="H285">
        <f>LET(total, INT(E285)*60 + (E285-INT(E285))*100, blocks, QUOTIENT(total, 15), extra, MOD(total, 15), units, blocks + IF(extra&gt;=8, 1, 0), units)</f>
        <v/>
      </c>
      <c r="I285" t="inlineStr">
        <is>
          <t>1/1 
97153</t>
        </is>
      </c>
      <c r="J285">
        <f>IF(L285="Level 1", VLOOKUP(I285, UserCodes!E:F, 2, FALSE) * H285, IF(L285="Level 2", VLOOKUP(I285, UserCodes!E:F, 2, FALSE) * H285 * 0.8, 0))</f>
        <v/>
      </c>
      <c r="K285" t="inlineStr">
        <is>
          <t>Ran, Sameya</t>
        </is>
      </c>
      <c r="L285">
        <f>VLOOKUP(K285, UserCodes!A:B, 2, FALSE)</f>
        <v/>
      </c>
    </row>
    <row r="286">
      <c r="A286" t="inlineStr">
        <is>
          <t>Ali, Saami</t>
        </is>
      </c>
      <c r="B286" s="3" t="n">
        <v>46013</v>
      </c>
      <c r="C286" t="inlineStr">
        <is>
          <t>03:00 PM - 08:00 PM</t>
        </is>
      </c>
      <c r="D286" t="inlineStr">
        <is>
          <t>05:00</t>
        </is>
      </c>
      <c r="E286">
        <f>HOUR(D286)+MINUTE(D286)/100</f>
        <v/>
      </c>
      <c r="F286">
        <f>ROUND(INT(E286) + (E286 - INT(E286)) * 100 / 60, 2)</f>
        <v/>
      </c>
      <c r="G286">
        <f>E286*4</f>
        <v/>
      </c>
      <c r="H286">
        <f>LET(total, INT(E286)*60 + (E286-INT(E286))*100, blocks, QUOTIENT(total, 15), extra, MOD(total, 15), units, blocks + IF(extra&gt;=8, 1, 0), units)</f>
        <v/>
      </c>
      <c r="I286" t="inlineStr">
        <is>
          <t>1/1 
97153</t>
        </is>
      </c>
      <c r="J286">
        <f>IF(L286="Level 1", VLOOKUP(I286, UserCodes!E:F, 2, FALSE) * H286, IF(L286="Level 2", VLOOKUP(I286, UserCodes!E:F, 2, FALSE) * H286 * 0.8, 0))</f>
        <v/>
      </c>
      <c r="K286" t="inlineStr">
        <is>
          <t>Muse, Aaliya</t>
        </is>
      </c>
      <c r="L286">
        <f>VLOOKUP(K286, UserCodes!A:B, 2, FALSE)</f>
        <v/>
      </c>
    </row>
    <row r="287">
      <c r="A287" t="inlineStr">
        <is>
          <t>Abdi, Safia</t>
        </is>
      </c>
      <c r="B287" s="3" t="n">
        <v>46013</v>
      </c>
      <c r="C287" t="inlineStr">
        <is>
          <t>02:00pm - 04:00pm</t>
        </is>
      </c>
      <c r="E287">
        <f>HOUR(D287)+MINUTE(D287)/100</f>
        <v/>
      </c>
      <c r="F287">
        <f>ROUND(INT(E287) + (E287 - INT(E287)) * 100 / 60, 2)</f>
        <v/>
      </c>
      <c r="G287">
        <f>E287*4</f>
        <v/>
      </c>
      <c r="H287">
        <f>LET(total, INT(E287)*60 + (E287-INT(E287))*100, blocks, QUOTIENT(total, 15), extra, MOD(total, 15), units, blocks + IF(extra&gt;=8, 1, 0), units)</f>
        <v/>
      </c>
      <c r="I287" t="inlineStr">
        <is>
          <t>O&amp;D 
97155</t>
        </is>
      </c>
      <c r="J287">
        <f>IF(L287="Level 1", VLOOKUP(I287, UserCodes!E:F, 2, FALSE) * H287, IF(L287="Level 2", VLOOKUP(I287, UserCodes!E:F, 2, FALSE) * H287 * 0.8, 0))</f>
        <v/>
      </c>
      <c r="K287" t="inlineStr">
        <is>
          <t>Ibrahim, Ahmed</t>
        </is>
      </c>
      <c r="L287">
        <f>VLOOKUP(K287, UserCodes!A:B, 2, FALSE)</f>
        <v/>
      </c>
      <c r="M287" t="inlineStr">
        <is>
          <t>No note</t>
        </is>
      </c>
    </row>
    <row r="288">
      <c r="A288" t="inlineStr">
        <is>
          <t>Abdi, Safia</t>
        </is>
      </c>
      <c r="B288" s="3" t="n">
        <v>46013</v>
      </c>
      <c r="C288" t="inlineStr">
        <is>
          <t>02:00pm - 08:00pm</t>
        </is>
      </c>
      <c r="E288">
        <f>HOUR(D288)+MINUTE(D288)/100</f>
        <v/>
      </c>
      <c r="F288">
        <f>ROUND(INT(E288) + (E288 - INT(E288)) * 100 / 60, 2)</f>
        <v/>
      </c>
      <c r="G288">
        <f>E288*4</f>
        <v/>
      </c>
      <c r="H288">
        <f>LET(total, INT(E288)*60 + (E288-INT(E288))*100, blocks, QUOTIENT(total, 15), extra, MOD(total, 15), units, blocks + IF(extra&gt;=8, 1, 0), units)</f>
        <v/>
      </c>
      <c r="I288" t="inlineStr">
        <is>
          <t>1/1 
97153</t>
        </is>
      </c>
      <c r="J288">
        <f>IF(L288="Level 1", VLOOKUP(I288, UserCodes!E:F, 2, FALSE) * H288, IF(L288="Level 2", VLOOKUP(I288, UserCodes!E:F, 2, FALSE) * H288 * 0.8, 0))</f>
        <v/>
      </c>
      <c r="K288" t="inlineStr">
        <is>
          <t>Muse, Nawaal</t>
        </is>
      </c>
      <c r="L288">
        <f>VLOOKUP(K288, UserCodes!A:B, 2, FALSE)</f>
        <v/>
      </c>
      <c r="M288" t="inlineStr">
        <is>
          <t>No note</t>
        </is>
      </c>
    </row>
    <row r="289">
      <c r="A289" t="inlineStr">
        <is>
          <t>Sulub, Sharmake</t>
        </is>
      </c>
      <c r="B289" s="3" t="n">
        <v>46013</v>
      </c>
      <c r="C289" t="inlineStr">
        <is>
          <t>09:00am - 12:00pm</t>
        </is>
      </c>
      <c r="E289">
        <f>HOUR(D289)+MINUTE(D289)/100</f>
        <v/>
      </c>
      <c r="F289">
        <f>ROUND(INT(E289) + (E289 - INT(E289)) * 100 / 60, 2)</f>
        <v/>
      </c>
      <c r="G289">
        <f>E289*4</f>
        <v/>
      </c>
      <c r="H289">
        <f>LET(total, INT(E289)*60 + (E289-INT(E289))*100, blocks, QUOTIENT(total, 15), extra, MOD(total, 15), units, blocks + IF(extra&gt;=8, 1, 0), units)</f>
        <v/>
      </c>
      <c r="I289" t="inlineStr">
        <is>
          <t>O&amp;D 
97155</t>
        </is>
      </c>
      <c r="J289">
        <f>IF(L289="Level 1", VLOOKUP(I289, UserCodes!E:F, 2, FALSE) * H289, IF(L289="Level 2", VLOOKUP(I289, UserCodes!E:F, 2, FALSE) * H289 * 0.8, 0))</f>
        <v/>
      </c>
      <c r="K289" t="inlineStr">
        <is>
          <t>Abdulle, Zamzam</t>
        </is>
      </c>
      <c r="L289">
        <f>VLOOKUP(K289, UserCodes!A:B, 2, FALSE)</f>
        <v/>
      </c>
      <c r="M289" t="inlineStr">
        <is>
          <t>No note</t>
        </is>
      </c>
    </row>
    <row r="290">
      <c r="A290" t="inlineStr">
        <is>
          <t>Jama, Khadija</t>
        </is>
      </c>
      <c r="B290" s="3" t="n">
        <v>46013</v>
      </c>
      <c r="C290" t="inlineStr">
        <is>
          <t>04:30 PM - 06:10 PM</t>
        </is>
      </c>
      <c r="D290" t="inlineStr">
        <is>
          <t>01:40</t>
        </is>
      </c>
      <c r="E290">
        <f>HOUR(D290)+MINUTE(D290)/100</f>
        <v/>
      </c>
      <c r="F290">
        <f>ROUND(INT(E290) + (E290 - INT(E290)) * 100 / 60, 2)</f>
        <v/>
      </c>
      <c r="G290">
        <f>E290*4</f>
        <v/>
      </c>
      <c r="H290">
        <f>LET(total, INT(E290)*60 + (E290-INT(E290))*100, blocks, QUOTIENT(total, 15), extra, MOD(total, 15), units, blocks + IF(extra&gt;=8, 1, 0), units)</f>
        <v/>
      </c>
      <c r="I290" t="inlineStr">
        <is>
          <t>1/1 
97153</t>
        </is>
      </c>
      <c r="J290">
        <f>IF(L290="Level 1", VLOOKUP(I290, UserCodes!E:F, 2, FALSE) * H290, IF(L290="Level 2", VLOOKUP(I290, UserCodes!E:F, 2, FALSE) * H290 * 0.8, 0))</f>
        <v/>
      </c>
      <c r="K290" t="inlineStr">
        <is>
          <t>Noor, Kamilo</t>
        </is>
      </c>
      <c r="L290">
        <f>VLOOKUP(K290, UserCodes!A:B, 2, FALSE)</f>
        <v/>
      </c>
    </row>
    <row r="291">
      <c r="A291" t="inlineStr">
        <is>
          <t>Yusuf 2, Khadra</t>
        </is>
      </c>
      <c r="B291" s="3" t="n">
        <v>46013</v>
      </c>
      <c r="C291" t="inlineStr">
        <is>
          <t>01:00 PM - 06:00 PM</t>
        </is>
      </c>
      <c r="D291" t="inlineStr">
        <is>
          <t>05:00</t>
        </is>
      </c>
      <c r="E291">
        <f>HOUR(D291)+MINUTE(D291)/100</f>
        <v/>
      </c>
      <c r="F291">
        <f>ROUND(INT(E291) + (E291 - INT(E291)) * 100 / 60, 2)</f>
        <v/>
      </c>
      <c r="G291">
        <f>E291*4</f>
        <v/>
      </c>
      <c r="H291">
        <f>LET(total, INT(E291)*60 + (E291-INT(E291))*100, blocks, QUOTIENT(total, 15), extra, MOD(total, 15), units, blocks + IF(extra&gt;=8, 1, 0), units)</f>
        <v/>
      </c>
      <c r="I291" t="inlineStr">
        <is>
          <t>1/1 
97153</t>
        </is>
      </c>
      <c r="J291">
        <f>IF(L291="Level 1", VLOOKUP(I291, UserCodes!E:F, 2, FALSE) * H291, IF(L291="Level 2", VLOOKUP(I291, UserCodes!E:F, 2, FALSE) * H291 * 0.8, 0))</f>
        <v/>
      </c>
      <c r="K291" t="inlineStr">
        <is>
          <t>Hashi, Ridwan</t>
        </is>
      </c>
      <c r="L291">
        <f>VLOOKUP(K291, UserCodes!A:B, 2, FALSE)</f>
        <v/>
      </c>
    </row>
    <row r="292">
      <c r="A292" t="inlineStr">
        <is>
          <t>Jama, Khadija</t>
        </is>
      </c>
      <c r="B292" s="3" t="n">
        <v>46013</v>
      </c>
      <c r="C292" t="inlineStr">
        <is>
          <t>10:00 AM - 04:00 PM</t>
        </is>
      </c>
      <c r="D292" t="inlineStr">
        <is>
          <t>06:00</t>
        </is>
      </c>
      <c r="E292">
        <f>HOUR(D292)+MINUTE(D292)/100</f>
        <v/>
      </c>
      <c r="F292">
        <f>ROUND(INT(E292) + (E292 - INT(E292)) * 100 / 60, 2)</f>
        <v/>
      </c>
      <c r="G292">
        <f>E292*4</f>
        <v/>
      </c>
      <c r="H292">
        <f>LET(total, INT(E292)*60 + (E292-INT(E292))*100, blocks, QUOTIENT(total, 15), extra, MOD(total, 15), units, blocks + IF(extra&gt;=8, 1, 0), units)</f>
        <v/>
      </c>
      <c r="I292" t="inlineStr">
        <is>
          <t>1/1 
97153</t>
        </is>
      </c>
      <c r="J292">
        <f>IF(L292="Level 1", VLOOKUP(I292, UserCodes!E:F, 2, FALSE) * H292, IF(L292="Level 2", VLOOKUP(I292, UserCodes!E:F, 2, FALSE) * H292 * 0.8, 0))</f>
        <v/>
      </c>
      <c r="K292" t="inlineStr">
        <is>
          <t>Noor, Kamilo</t>
        </is>
      </c>
      <c r="L292">
        <f>VLOOKUP(K292, UserCodes!A:B, 2, FALSE)</f>
        <v/>
      </c>
    </row>
    <row r="293">
      <c r="A293" t="inlineStr">
        <is>
          <t>Kadir, Hamdi</t>
        </is>
      </c>
      <c r="B293" s="3" t="n">
        <v>46013</v>
      </c>
      <c r="C293" t="inlineStr">
        <is>
          <t>05:30 PM - 08:00 PM</t>
        </is>
      </c>
      <c r="D293" t="inlineStr">
        <is>
          <t>02:30</t>
        </is>
      </c>
      <c r="E293">
        <f>HOUR(D293)+MINUTE(D293)/100</f>
        <v/>
      </c>
      <c r="F293">
        <f>ROUND(INT(E293) + (E293 - INT(E293)) * 100 / 60, 2)</f>
        <v/>
      </c>
      <c r="G293">
        <f>E293*4</f>
        <v/>
      </c>
      <c r="H293">
        <f>LET(total, INT(E293)*60 + (E293-INT(E293))*100, blocks, QUOTIENT(total, 15), extra, MOD(total, 15), units, blocks + IF(extra&gt;=8, 1, 0), units)</f>
        <v/>
      </c>
      <c r="I293" t="inlineStr">
        <is>
          <t>1/1 
97153</t>
        </is>
      </c>
      <c r="J293">
        <f>IF(L293="Level 1", VLOOKUP(I293, UserCodes!E:F, 2, FALSE) * H293, IF(L293="Level 2", VLOOKUP(I293, UserCodes!E:F, 2, FALSE) * H293 * 0.8, 0))</f>
        <v/>
      </c>
      <c r="K293" t="inlineStr">
        <is>
          <t>Ran, Sameya</t>
        </is>
      </c>
      <c r="L293">
        <f>VLOOKUP(K293, UserCodes!A:B, 2, FALSE)</f>
        <v/>
      </c>
    </row>
    <row r="294">
      <c r="A294" t="inlineStr">
        <is>
          <t>Kadir, Hamdi</t>
        </is>
      </c>
      <c r="B294" s="3" t="n">
        <v>46013</v>
      </c>
      <c r="C294" t="inlineStr">
        <is>
          <t>12:00 PM - 03:00 PM</t>
        </is>
      </c>
      <c r="D294" t="inlineStr">
        <is>
          <t>03:00</t>
        </is>
      </c>
      <c r="E294">
        <f>HOUR(D294)+MINUTE(D294)/100</f>
        <v/>
      </c>
      <c r="F294">
        <f>ROUND(INT(E294) + (E294 - INT(E294)) * 100 / 60, 2)</f>
        <v/>
      </c>
      <c r="G294">
        <f>E294*4</f>
        <v/>
      </c>
      <c r="H294">
        <f>LET(total, INT(E294)*60 + (E294-INT(E294))*100, blocks, QUOTIENT(total, 15), extra, MOD(total, 15), units, blocks + IF(extra&gt;=8, 1, 0), units)</f>
        <v/>
      </c>
      <c r="J294">
        <f>IF(L294="Level 1", VLOOKUP(I294, UserCodes!E:F, 2, FALSE) * H294, IF(L294="Level 2", VLOOKUP(I294, UserCodes!E:F, 2, FALSE) * H294 * 0.8, 0))</f>
        <v/>
      </c>
      <c r="K294" t="inlineStr">
        <is>
          <t>Muse, Aaliya</t>
        </is>
      </c>
      <c r="L294">
        <f>VLOOKUP(K294, UserCodes!A:B, 2, FALSE)</f>
        <v/>
      </c>
      <c r="M294" t="inlineStr">
        <is>
          <t>No schedule</t>
        </is>
      </c>
    </row>
    <row r="295">
      <c r="A295" t="inlineStr">
        <is>
          <t>Abdullahi, Abdirahman</t>
        </is>
      </c>
      <c r="B295" s="3" t="n">
        <v>46013</v>
      </c>
      <c r="C295" t="inlineStr">
        <is>
          <t>10:30 AM - 01:30 PM</t>
        </is>
      </c>
      <c r="D295" t="inlineStr">
        <is>
          <t>03:00</t>
        </is>
      </c>
      <c r="E295">
        <f>HOUR(D295)+MINUTE(D295)/100</f>
        <v/>
      </c>
      <c r="F295">
        <f>ROUND(INT(E295) + (E295 - INT(E295)) * 100 / 60, 2)</f>
        <v/>
      </c>
      <c r="G295">
        <f>E295*4</f>
        <v/>
      </c>
      <c r="H295">
        <f>LET(total, INT(E295)*60 + (E295-INT(E295))*100, blocks, QUOTIENT(total, 15), extra, MOD(total, 15), units, blocks + IF(extra&gt;=8, 1, 0), units)</f>
        <v/>
      </c>
      <c r="I295" t="inlineStr">
        <is>
          <t>O&amp;D 
97155</t>
        </is>
      </c>
      <c r="J295">
        <f>IF(L295="Level 1", VLOOKUP(I295, UserCodes!E:F, 2, FALSE) * H295, IF(L295="Level 2", VLOOKUP(I295, UserCodes!E:F, 2, FALSE) * H295 * 0.8, 0))</f>
        <v/>
      </c>
      <c r="K295" t="inlineStr">
        <is>
          <t>Muse, Ayni</t>
        </is>
      </c>
      <c r="L295">
        <f>VLOOKUP(K295, UserCodes!A:B, 2, FALSE)</f>
        <v/>
      </c>
    </row>
    <row r="296">
      <c r="A296" t="inlineStr">
        <is>
          <t>Kadir, Hamdi</t>
        </is>
      </c>
      <c r="B296" s="3" t="n">
        <v>46013</v>
      </c>
      <c r="C296" t="inlineStr">
        <is>
          <t>12:00 PM - 05:30 PM</t>
        </is>
      </c>
      <c r="D296" t="inlineStr">
        <is>
          <t>05:30</t>
        </is>
      </c>
      <c r="E296">
        <f>HOUR(D296)+MINUTE(D296)/100</f>
        <v/>
      </c>
      <c r="F296">
        <f>ROUND(INT(E296) + (E296 - INT(E296)) * 100 / 60, 2)</f>
        <v/>
      </c>
      <c r="G296">
        <f>E296*4</f>
        <v/>
      </c>
      <c r="H296">
        <f>LET(total, INT(E296)*60 + (E296-INT(E296))*100, blocks, QUOTIENT(total, 15), extra, MOD(total, 15), units, blocks + IF(extra&gt;=8, 1, 0), units)</f>
        <v/>
      </c>
      <c r="I296" t="inlineStr">
        <is>
          <t>1/1 
97153</t>
        </is>
      </c>
      <c r="J296">
        <f>IF(L296="Level 1", VLOOKUP(I296, UserCodes!E:F, 2, FALSE) * H296, IF(L296="Level 2", VLOOKUP(I296, UserCodes!E:F, 2, FALSE) * H296 * 0.8, 0))</f>
        <v/>
      </c>
      <c r="K296" t="inlineStr">
        <is>
          <t>Mohamed, Samsam</t>
        </is>
      </c>
      <c r="L296">
        <f>VLOOKUP(K296, UserCodes!A:B, 2, FALSE)</f>
        <v/>
      </c>
    </row>
    <row r="297">
      <c r="A297" t="inlineStr">
        <is>
          <t>Mohamed, Sumaya</t>
        </is>
      </c>
      <c r="B297" s="3" t="n">
        <v>46013</v>
      </c>
      <c r="C297" t="inlineStr">
        <is>
          <t>12:30 PM - 08:00 PM</t>
        </is>
      </c>
      <c r="D297" t="inlineStr">
        <is>
          <t>07:30</t>
        </is>
      </c>
      <c r="E297">
        <f>HOUR(D297)+MINUTE(D297)/100</f>
        <v/>
      </c>
      <c r="F297">
        <f>ROUND(INT(E297) + (E297 - INT(E297)) * 100 / 60, 2)</f>
        <v/>
      </c>
      <c r="G297">
        <f>E297*4</f>
        <v/>
      </c>
      <c r="H297">
        <f>LET(total, INT(E297)*60 + (E297-INT(E297))*100, blocks, QUOTIENT(total, 15), extra, MOD(total, 15), units, blocks + IF(extra&gt;=8, 1, 0), units)</f>
        <v/>
      </c>
      <c r="I297" t="inlineStr">
        <is>
          <t>1/1 
97153</t>
        </is>
      </c>
      <c r="J297">
        <f>IF(L297="Level 1", VLOOKUP(I297, UserCodes!E:F, 2, FALSE) * H297, IF(L297="Level 2", VLOOKUP(I297, UserCodes!E:F, 2, FALSE) * H297 * 0.8, 0))</f>
        <v/>
      </c>
      <c r="K297" t="inlineStr">
        <is>
          <t>Muse, Adna</t>
        </is>
      </c>
      <c r="L297">
        <f>VLOOKUP(K297, UserCodes!A:B, 2, FALSE)</f>
        <v/>
      </c>
    </row>
    <row r="298">
      <c r="A298" t="inlineStr">
        <is>
          <t>Sulub, Sharmake</t>
        </is>
      </c>
      <c r="B298" s="3" t="n">
        <v>46013</v>
      </c>
      <c r="C298" t="inlineStr">
        <is>
          <t>09:00 AM - 04:30 PM</t>
        </is>
      </c>
      <c r="D298" t="inlineStr">
        <is>
          <t>07:30</t>
        </is>
      </c>
      <c r="E298">
        <f>HOUR(D298)+MINUTE(D298)/100</f>
        <v/>
      </c>
      <c r="F298">
        <f>ROUND(INT(E298) + (E298 - INT(E298)) * 100 / 60, 2)</f>
        <v/>
      </c>
      <c r="G298">
        <f>E298*4</f>
        <v/>
      </c>
      <c r="H298">
        <f>LET(total, INT(E298)*60 + (E298-INT(E298))*100, blocks, QUOTIENT(total, 15), extra, MOD(total, 15), units, blocks + IF(extra&gt;=8, 1, 0), units)</f>
        <v/>
      </c>
      <c r="I298" t="inlineStr">
        <is>
          <t>1/1 
97153</t>
        </is>
      </c>
      <c r="J298">
        <f>IF(L298="Level 1", VLOOKUP(I298, UserCodes!E:F, 2, FALSE) * H298, IF(L298="Level 2", VLOOKUP(I298, UserCodes!E:F, 2, FALSE) * H298 * 0.8, 0))</f>
        <v/>
      </c>
      <c r="K298" t="inlineStr">
        <is>
          <t>Ali, Nasteho</t>
        </is>
      </c>
      <c r="L298">
        <f>VLOOKUP(K298, UserCodes!A:B, 2, FALSE)</f>
        <v/>
      </c>
    </row>
    <row r="299">
      <c r="A299" t="inlineStr">
        <is>
          <t>Abdullahi, Abdirahman</t>
        </is>
      </c>
      <c r="B299" s="3" t="n">
        <v>46014</v>
      </c>
      <c r="C299" t="inlineStr">
        <is>
          <t>01:30pm - 03:00pm</t>
        </is>
      </c>
      <c r="E299">
        <f>HOUR(D299)+MINUTE(D299)/100</f>
        <v/>
      </c>
      <c r="F299">
        <f>ROUND(INT(E299) + (E299 - INT(E299)) * 100 / 60, 2)</f>
        <v/>
      </c>
      <c r="G299">
        <f>E299*4</f>
        <v/>
      </c>
      <c r="H299">
        <f>LET(total, INT(E299)*60 + (E299-INT(E299))*100, blocks, QUOTIENT(total, 15), extra, MOD(total, 15), units, blocks + IF(extra&gt;=8, 1, 0), units)</f>
        <v/>
      </c>
      <c r="I299" t="inlineStr">
        <is>
          <t>1/1 
97153</t>
        </is>
      </c>
      <c r="J299">
        <f>IF(L299="Level 1", VLOOKUP(I299, UserCodes!E:F, 2, FALSE) * H299, IF(L299="Level 2", VLOOKUP(I299, UserCodes!E:F, 2, FALSE) * H299 * 0.8, 0))</f>
        <v/>
      </c>
      <c r="K299" t="inlineStr">
        <is>
          <t>Ibrahim, Ahmed</t>
        </is>
      </c>
      <c r="L299">
        <f>VLOOKUP(K299, UserCodes!A:B, 2, FALSE)</f>
        <v/>
      </c>
      <c r="M299" t="inlineStr">
        <is>
          <t>No note</t>
        </is>
      </c>
    </row>
    <row r="300">
      <c r="A300" t="inlineStr">
        <is>
          <t>Abdullahi, Abdirahman</t>
        </is>
      </c>
      <c r="B300" s="3" t="n">
        <v>46014</v>
      </c>
      <c r="C300" t="inlineStr">
        <is>
          <t>01:00pm - 01:30pm</t>
        </is>
      </c>
      <c r="E300">
        <f>HOUR(D300)+MINUTE(D300)/100</f>
        <v/>
      </c>
      <c r="F300">
        <f>ROUND(INT(E300) + (E300 - INT(E300)) * 100 / 60, 2)</f>
        <v/>
      </c>
      <c r="G300">
        <f>E300*4</f>
        <v/>
      </c>
      <c r="H300">
        <f>LET(total, INT(E300)*60 + (E300-INT(E300))*100, blocks, QUOTIENT(total, 15), extra, MOD(total, 15), units, blocks + IF(extra&gt;=8, 1, 0), units)</f>
        <v/>
      </c>
      <c r="I300" t="inlineStr">
        <is>
          <t>1/1 
97153</t>
        </is>
      </c>
      <c r="J300">
        <f>IF(L300="Level 1", VLOOKUP(I300, UserCodes!E:F, 2, FALSE) * H300, IF(L300="Level 2", VLOOKUP(I300, UserCodes!E:F, 2, FALSE) * H300 * 0.8, 0))</f>
        <v/>
      </c>
      <c r="K300" t="inlineStr">
        <is>
          <t>Ibrahim, Ahmed</t>
        </is>
      </c>
      <c r="L300">
        <f>VLOOKUP(K300, UserCodes!A:B, 2, FALSE)</f>
        <v/>
      </c>
      <c r="M300" t="inlineStr">
        <is>
          <t>No note</t>
        </is>
      </c>
    </row>
    <row r="301">
      <c r="A301" t="inlineStr">
        <is>
          <t>Sulub, Sharmake</t>
        </is>
      </c>
      <c r="B301" s="3" t="n">
        <v>46014</v>
      </c>
      <c r="C301" t="inlineStr">
        <is>
          <t>09:00am - 05:00pm</t>
        </is>
      </c>
      <c r="E301">
        <f>HOUR(D301)+MINUTE(D301)/100</f>
        <v/>
      </c>
      <c r="F301">
        <f>ROUND(INT(E301) + (E301 - INT(E301)) * 100 / 60, 2)</f>
        <v/>
      </c>
      <c r="G301">
        <f>E301*4</f>
        <v/>
      </c>
      <c r="H301">
        <f>LET(total, INT(E301)*60 + (E301-INT(E301))*100, blocks, QUOTIENT(total, 15), extra, MOD(total, 15), units, blocks + IF(extra&gt;=8, 1, 0), units)</f>
        <v/>
      </c>
      <c r="I301" t="inlineStr">
        <is>
          <t>1/1 
97153</t>
        </is>
      </c>
      <c r="J301">
        <f>IF(L301="Level 1", VLOOKUP(I301, UserCodes!E:F, 2, FALSE) * H301, IF(L301="Level 2", VLOOKUP(I301, UserCodes!E:F, 2, FALSE) * H301 * 0.8, 0))</f>
        <v/>
      </c>
      <c r="K301" t="inlineStr">
        <is>
          <t>Mohamed, Mohamed</t>
        </is>
      </c>
      <c r="L301">
        <f>VLOOKUP(K301, UserCodes!A:B, 2, FALSE)</f>
        <v/>
      </c>
      <c r="M301" t="inlineStr">
        <is>
          <t>No note</t>
        </is>
      </c>
    </row>
    <row r="302">
      <c r="A302" t="inlineStr">
        <is>
          <t>Yusuf 2, Khadra</t>
        </is>
      </c>
      <c r="B302" s="3" t="n">
        <v>46014</v>
      </c>
      <c r="C302" t="inlineStr">
        <is>
          <t>12:00pm - 12:30pm</t>
        </is>
      </c>
      <c r="E302">
        <f>HOUR(D302)+MINUTE(D302)/100</f>
        <v/>
      </c>
      <c r="F302">
        <f>ROUND(INT(E302) + (E302 - INT(E302)) * 100 / 60, 2)</f>
        <v/>
      </c>
      <c r="G302">
        <f>E302*4</f>
        <v/>
      </c>
      <c r="H302">
        <f>LET(total, INT(E302)*60 + (E302-INT(E302))*100, blocks, QUOTIENT(total, 15), extra, MOD(total, 15), units, blocks + IF(extra&gt;=8, 1, 0), units)</f>
        <v/>
      </c>
      <c r="I302" t="inlineStr">
        <is>
          <t>1/1 
97153</t>
        </is>
      </c>
      <c r="J302">
        <f>IF(L302="Level 1", VLOOKUP(I302, UserCodes!E:F, 2, FALSE) * H302, IF(L302="Level 2", VLOOKUP(I302, UserCodes!E:F, 2, FALSE) * H302 * 0.8, 0))</f>
        <v/>
      </c>
      <c r="K302" t="inlineStr">
        <is>
          <t>Ibrahim, Ahmed</t>
        </is>
      </c>
      <c r="L302">
        <f>VLOOKUP(K302, UserCodes!A:B, 2, FALSE)</f>
        <v/>
      </c>
      <c r="M302" t="inlineStr">
        <is>
          <t>No note</t>
        </is>
      </c>
    </row>
    <row r="303">
      <c r="A303" t="inlineStr">
        <is>
          <t>Abdi, Salman</t>
        </is>
      </c>
      <c r="B303" s="3" t="n">
        <v>46014</v>
      </c>
      <c r="C303" t="inlineStr">
        <is>
          <t>12:00pm - 04:00pm</t>
        </is>
      </c>
      <c r="E303">
        <f>HOUR(D303)+MINUTE(D303)/100</f>
        <v/>
      </c>
      <c r="F303">
        <f>ROUND(INT(E303) + (E303 - INT(E303)) * 100 / 60, 2)</f>
        <v/>
      </c>
      <c r="G303">
        <f>E303*4</f>
        <v/>
      </c>
      <c r="H303">
        <f>LET(total, INT(E303)*60 + (E303-INT(E303))*100, blocks, QUOTIENT(total, 15), extra, MOD(total, 15), units, blocks + IF(extra&gt;=8, 1, 0), units)</f>
        <v/>
      </c>
      <c r="I303" t="inlineStr">
        <is>
          <t>1/1 
97153</t>
        </is>
      </c>
      <c r="J303">
        <f>IF(L303="Level 1", VLOOKUP(I303, UserCodes!E:F, 2, FALSE) * H303, IF(L303="Level 2", VLOOKUP(I303, UserCodes!E:F, 2, FALSE) * H303 * 0.8, 0))</f>
        <v/>
      </c>
      <c r="K303" t="inlineStr">
        <is>
          <t>Abdulle, Zamzam</t>
        </is>
      </c>
      <c r="L303">
        <f>VLOOKUP(K303, UserCodes!A:B, 2, FALSE)</f>
        <v/>
      </c>
      <c r="M303" t="inlineStr">
        <is>
          <t>No note</t>
        </is>
      </c>
    </row>
    <row r="304">
      <c r="A304" t="inlineStr">
        <is>
          <t>Kadir, Hamdi</t>
        </is>
      </c>
      <c r="B304" s="3" t="n">
        <v>46014</v>
      </c>
      <c r="C304" t="inlineStr">
        <is>
          <t>09:00am - 12:00pm</t>
        </is>
      </c>
      <c r="E304">
        <f>HOUR(D304)+MINUTE(D304)/100</f>
        <v/>
      </c>
      <c r="F304">
        <f>ROUND(INT(E304) + (E304 - INT(E304)) * 100 / 60, 2)</f>
        <v/>
      </c>
      <c r="G304">
        <f>E304*4</f>
        <v/>
      </c>
      <c r="H304">
        <f>LET(total, INT(E304)*60 + (E304-INT(E304))*100, blocks, QUOTIENT(total, 15), extra, MOD(total, 15), units, blocks + IF(extra&gt;=8, 1, 0), units)</f>
        <v/>
      </c>
      <c r="I304" t="inlineStr">
        <is>
          <t>1/1 
97153</t>
        </is>
      </c>
      <c r="J304">
        <f>IF(L304="Level 1", VLOOKUP(I304, UserCodes!E:F, 2, FALSE) * H304, IF(L304="Level 2", VLOOKUP(I304, UserCodes!E:F, 2, FALSE) * H304 * 0.8, 0))</f>
        <v/>
      </c>
      <c r="K304" t="inlineStr">
        <is>
          <t>Muse, Nawaal</t>
        </is>
      </c>
      <c r="L304">
        <f>VLOOKUP(K304, UserCodes!A:B, 2, FALSE)</f>
        <v/>
      </c>
      <c r="M304" t="inlineStr">
        <is>
          <t>No note</t>
        </is>
      </c>
    </row>
    <row r="305">
      <c r="A305" t="inlineStr">
        <is>
          <t>Kadir, Hamdi</t>
        </is>
      </c>
      <c r="B305" s="3" t="n">
        <v>46014</v>
      </c>
      <c r="C305" t="inlineStr">
        <is>
          <t>12:30pm - 05:00pm</t>
        </is>
      </c>
      <c r="E305">
        <f>HOUR(D305)+MINUTE(D305)/100</f>
        <v/>
      </c>
      <c r="F305">
        <f>ROUND(INT(E305) + (E305 - INT(E305)) * 100 / 60, 2)</f>
        <v/>
      </c>
      <c r="G305">
        <f>E305*4</f>
        <v/>
      </c>
      <c r="H305">
        <f>LET(total, INT(E305)*60 + (E305-INT(E305))*100, blocks, QUOTIENT(total, 15), extra, MOD(total, 15), units, blocks + IF(extra&gt;=8, 1, 0), units)</f>
        <v/>
      </c>
      <c r="I305" t="inlineStr">
        <is>
          <t>1/1 
97153</t>
        </is>
      </c>
      <c r="J305">
        <f>IF(L305="Level 1", VLOOKUP(I305, UserCodes!E:F, 2, FALSE) * H305, IF(L305="Level 2", VLOOKUP(I305, UserCodes!E:F, 2, FALSE) * H305 * 0.8, 0))</f>
        <v/>
      </c>
      <c r="K305" t="inlineStr">
        <is>
          <t>Muse, Nawaal</t>
        </is>
      </c>
      <c r="L305">
        <f>VLOOKUP(K305, UserCodes!A:B, 2, FALSE)</f>
        <v/>
      </c>
      <c r="M305" t="inlineStr">
        <is>
          <t>No note</t>
        </is>
      </c>
    </row>
    <row r="306">
      <c r="A306" t="inlineStr">
        <is>
          <t>Abdi, Ahmed</t>
        </is>
      </c>
      <c r="B306" s="3" t="n">
        <v>46014</v>
      </c>
      <c r="C306" t="inlineStr">
        <is>
          <t>06:00 PM - 08:00 PM</t>
        </is>
      </c>
      <c r="D306" t="inlineStr">
        <is>
          <t>02:00</t>
        </is>
      </c>
      <c r="E306">
        <f>HOUR(D306)+MINUTE(D306)/100</f>
        <v/>
      </c>
      <c r="F306">
        <f>ROUND(INT(E306) + (E306 - INT(E306)) * 100 / 60, 2)</f>
        <v/>
      </c>
      <c r="G306">
        <f>E306*4</f>
        <v/>
      </c>
      <c r="H306">
        <f>LET(total, INT(E306)*60 + (E306-INT(E306))*100, blocks, QUOTIENT(total, 15), extra, MOD(total, 15), units, blocks + IF(extra&gt;=8, 1, 0), units)</f>
        <v/>
      </c>
      <c r="I306" t="inlineStr">
        <is>
          <t>O&amp;D 
97155</t>
        </is>
      </c>
      <c r="J306">
        <f>IF(L306="Level 1", VLOOKUP(I306, UserCodes!E:F, 2, FALSE) * H306, IF(L306="Level 2", VLOOKUP(I306, UserCodes!E:F, 2, FALSE) * H306 * 0.8, 0))</f>
        <v/>
      </c>
      <c r="K306" t="inlineStr">
        <is>
          <t>Muse, Adna</t>
        </is>
      </c>
      <c r="L306">
        <f>VLOOKUP(K306, UserCodes!A:B, 2, FALSE)</f>
        <v/>
      </c>
    </row>
    <row r="307">
      <c r="A307" t="inlineStr">
        <is>
          <t>Jama, Khadija</t>
        </is>
      </c>
      <c r="B307" s="3" t="n">
        <v>46014</v>
      </c>
      <c r="C307" t="inlineStr">
        <is>
          <t>01:30 PM - 04:30 PM</t>
        </is>
      </c>
      <c r="D307" t="inlineStr">
        <is>
          <t>03:00</t>
        </is>
      </c>
      <c r="E307">
        <f>HOUR(D307)+MINUTE(D307)/100</f>
        <v/>
      </c>
      <c r="F307">
        <f>ROUND(INT(E307) + (E307 - INT(E307)) * 100 / 60, 2)</f>
        <v/>
      </c>
      <c r="G307">
        <f>E307*4</f>
        <v/>
      </c>
      <c r="H307">
        <f>LET(total, INT(E307)*60 + (E307-INT(E307))*100, blocks, QUOTIENT(total, 15), extra, MOD(total, 15), units, blocks + IF(extra&gt;=8, 1, 0), units)</f>
        <v/>
      </c>
      <c r="I307" t="inlineStr">
        <is>
          <t>1/1 
97153</t>
        </is>
      </c>
      <c r="J307">
        <f>IF(L307="Level 1", VLOOKUP(I307, UserCodes!E:F, 2, FALSE) * H307, IF(L307="Level 2", VLOOKUP(I307, UserCodes!E:F, 2, FALSE) * H307 * 0.8, 0))</f>
        <v/>
      </c>
      <c r="K307" t="inlineStr">
        <is>
          <t>Noor, Kamilo</t>
        </is>
      </c>
      <c r="L307">
        <f>VLOOKUP(K307, UserCodes!A:B, 2, FALSE)</f>
        <v/>
      </c>
    </row>
    <row r="308">
      <c r="A308" t="inlineStr">
        <is>
          <t>Yusuf, Khadija</t>
        </is>
      </c>
      <c r="B308" s="3" t="n">
        <v>46014</v>
      </c>
      <c r="C308" t="inlineStr">
        <is>
          <t>10:00 AM - 12:30 PM</t>
        </is>
      </c>
      <c r="D308" t="inlineStr">
        <is>
          <t>02:30</t>
        </is>
      </c>
      <c r="E308">
        <f>HOUR(D308)+MINUTE(D308)/100</f>
        <v/>
      </c>
      <c r="F308">
        <f>ROUND(INT(E308) + (E308 - INT(E308)) * 100 / 60, 2)</f>
        <v/>
      </c>
      <c r="G308">
        <f>E308*4</f>
        <v/>
      </c>
      <c r="H308">
        <f>LET(total, INT(E308)*60 + (E308-INT(E308))*100, blocks, QUOTIENT(total, 15), extra, MOD(total, 15), units, blocks + IF(extra&gt;=8, 1, 0), units)</f>
        <v/>
      </c>
      <c r="I308" t="inlineStr">
        <is>
          <t>1/1 
97153</t>
        </is>
      </c>
      <c r="J308">
        <f>IF(L308="Level 1", VLOOKUP(I308, UserCodes!E:F, 2, FALSE) * H308, IF(L308="Level 2", VLOOKUP(I308, UserCodes!E:F, 2, FALSE) * H308 * 0.8, 0))</f>
        <v/>
      </c>
      <c r="K308" t="inlineStr">
        <is>
          <t>Muse, Adna</t>
        </is>
      </c>
      <c r="L308">
        <f>VLOOKUP(K308, UserCodes!A:B, 2, FALSE)</f>
        <v/>
      </c>
    </row>
    <row r="309">
      <c r="A309" t="inlineStr">
        <is>
          <t>Abdi, Mohamed</t>
        </is>
      </c>
      <c r="B309" s="3" t="n">
        <v>46014</v>
      </c>
      <c r="C309" t="inlineStr">
        <is>
          <t>03:00 PM - 08:00 PM</t>
        </is>
      </c>
      <c r="D309" t="inlineStr">
        <is>
          <t>05:00</t>
        </is>
      </c>
      <c r="E309">
        <f>HOUR(D309)+MINUTE(D309)/100</f>
        <v/>
      </c>
      <c r="F309">
        <f>ROUND(INT(E309) + (E309 - INT(E309)) * 100 / 60, 2)</f>
        <v/>
      </c>
      <c r="G309">
        <f>E309*4</f>
        <v/>
      </c>
      <c r="H309">
        <f>LET(total, INT(E309)*60 + (E309-INT(E309))*100, blocks, QUOTIENT(total, 15), extra, MOD(total, 15), units, blocks + IF(extra&gt;=8, 1, 0), units)</f>
        <v/>
      </c>
      <c r="I309" t="inlineStr">
        <is>
          <t>1/1 
97153</t>
        </is>
      </c>
      <c r="J309">
        <f>IF(L309="Level 1", VLOOKUP(I309, UserCodes!E:F, 2, FALSE) * H309, IF(L309="Level 2", VLOOKUP(I309, UserCodes!E:F, 2, FALSE) * H309 * 0.8, 0))</f>
        <v/>
      </c>
      <c r="K309" t="inlineStr">
        <is>
          <t>Omar, Mohamed</t>
        </is>
      </c>
      <c r="L309">
        <f>VLOOKUP(K309, UserCodes!A:B, 2, FALSE)</f>
        <v/>
      </c>
    </row>
    <row r="310">
      <c r="A310" t="inlineStr">
        <is>
          <t>Abdi, Safia</t>
        </is>
      </c>
      <c r="B310" s="3" t="n">
        <v>46014</v>
      </c>
      <c r="C310" t="inlineStr">
        <is>
          <t>04:00 PM - 08:00 PM</t>
        </is>
      </c>
      <c r="D310" t="inlineStr">
        <is>
          <t>04:00</t>
        </is>
      </c>
      <c r="E310">
        <f>HOUR(D310)+MINUTE(D310)/100</f>
        <v/>
      </c>
      <c r="F310">
        <f>ROUND(INT(E310) + (E310 - INT(E310)) * 100 / 60, 2)</f>
        <v/>
      </c>
      <c r="G310">
        <f>E310*4</f>
        <v/>
      </c>
      <c r="H310">
        <f>LET(total, INT(E310)*60 + (E310-INT(E310))*100, blocks, QUOTIENT(total, 15), extra, MOD(total, 15), units, blocks + IF(extra&gt;=8, 1, 0), units)</f>
        <v/>
      </c>
      <c r="I310" t="inlineStr">
        <is>
          <t>1/1 
97153</t>
        </is>
      </c>
      <c r="J310">
        <f>IF(L310="Level 1", VLOOKUP(I310, UserCodes!E:F, 2, FALSE) * H310, IF(L310="Level 2", VLOOKUP(I310, UserCodes!E:F, 2, FALSE) * H310 * 0.8, 0))</f>
        <v/>
      </c>
      <c r="K310" t="inlineStr">
        <is>
          <t>Mohamed, Samsam</t>
        </is>
      </c>
      <c r="L310">
        <f>VLOOKUP(K310, UserCodes!A:B, 2, FALSE)</f>
        <v/>
      </c>
    </row>
    <row r="311">
      <c r="A311" t="inlineStr">
        <is>
          <t>Abdi, Safia</t>
        </is>
      </c>
      <c r="B311" s="3" t="n">
        <v>46014</v>
      </c>
      <c r="C311" t="inlineStr">
        <is>
          <t>12:00 PM - 03:30 PM</t>
        </is>
      </c>
      <c r="D311" t="inlineStr">
        <is>
          <t>03:30</t>
        </is>
      </c>
      <c r="E311">
        <f>HOUR(D311)+MINUTE(D311)/100</f>
        <v/>
      </c>
      <c r="F311">
        <f>ROUND(INT(E311) + (E311 - INT(E311)) * 100 / 60, 2)</f>
        <v/>
      </c>
      <c r="G311">
        <f>E311*4</f>
        <v/>
      </c>
      <c r="H311">
        <f>LET(total, INT(E311)*60 + (E311-INT(E311))*100, blocks, QUOTIENT(total, 15), extra, MOD(total, 15), units, blocks + IF(extra&gt;=8, 1, 0), units)</f>
        <v/>
      </c>
      <c r="I311" t="inlineStr">
        <is>
          <t>1/1 
97153</t>
        </is>
      </c>
      <c r="J311">
        <f>IF(L311="Level 1", VLOOKUP(I311, UserCodes!E:F, 2, FALSE) * H311, IF(L311="Level 2", VLOOKUP(I311, UserCodes!E:F, 2, FALSE) * H311 * 0.8, 0))</f>
        <v/>
      </c>
      <c r="K311" t="inlineStr">
        <is>
          <t>Mohamed, Samsam</t>
        </is>
      </c>
      <c r="L311">
        <f>VLOOKUP(K311, UserCodes!A:B, 2, FALSE)</f>
        <v/>
      </c>
    </row>
    <row r="312">
      <c r="A312" t="inlineStr">
        <is>
          <t>Abdi, Salman</t>
        </is>
      </c>
      <c r="B312" s="3" t="n">
        <v>46014</v>
      </c>
      <c r="C312" t="inlineStr">
        <is>
          <t>04:30 PM - 06:30 PM</t>
        </is>
      </c>
      <c r="D312" t="inlineStr">
        <is>
          <t>02:00</t>
        </is>
      </c>
      <c r="E312">
        <f>HOUR(D312)+MINUTE(D312)/100</f>
        <v/>
      </c>
      <c r="F312">
        <f>ROUND(INT(E312) + (E312 - INT(E312)) * 100 / 60, 2)</f>
        <v/>
      </c>
      <c r="G312">
        <f>E312*4</f>
        <v/>
      </c>
      <c r="H312">
        <f>LET(total, INT(E312)*60 + (E312-INT(E312))*100, blocks, QUOTIENT(total, 15), extra, MOD(total, 15), units, blocks + IF(extra&gt;=8, 1, 0), units)</f>
        <v/>
      </c>
      <c r="J312">
        <f>IF(L312="Level 1", VLOOKUP(I312, UserCodes!E:F, 2, FALSE) * H312, IF(L312="Level 2", VLOOKUP(I312, UserCodes!E:F, 2, FALSE) * H312 * 0.8, 0))</f>
        <v/>
      </c>
      <c r="K312" t="inlineStr">
        <is>
          <t>Mohamed, Madar</t>
        </is>
      </c>
      <c r="L312">
        <f>VLOOKUP(K312, UserCodes!A:B, 2, FALSE)</f>
        <v/>
      </c>
      <c r="M312" t="inlineStr">
        <is>
          <t>No schedule</t>
        </is>
      </c>
    </row>
    <row r="313">
      <c r="A313" t="inlineStr">
        <is>
          <t>Abdi, Salman</t>
        </is>
      </c>
      <c r="B313" s="3" t="n">
        <v>46014</v>
      </c>
      <c r="C313" t="inlineStr">
        <is>
          <t>09:00 AM - 11:45 AM</t>
        </is>
      </c>
      <c r="D313" t="inlineStr">
        <is>
          <t>02:45</t>
        </is>
      </c>
      <c r="E313">
        <f>HOUR(D313)+MINUTE(D313)/100</f>
        <v/>
      </c>
      <c r="F313">
        <f>ROUND(INT(E313) + (E313 - INT(E313)) * 100 / 60, 2)</f>
        <v/>
      </c>
      <c r="G313">
        <f>E313*4</f>
        <v/>
      </c>
      <c r="H313">
        <f>LET(total, INT(E313)*60 + (E313-INT(E313))*100, blocks, QUOTIENT(total, 15), extra, MOD(total, 15), units, blocks + IF(extra&gt;=8, 1, 0), units)</f>
        <v/>
      </c>
      <c r="J313">
        <f>IF(L313="Level 1", VLOOKUP(I313, UserCodes!E:F, 2, FALSE) * H313, IF(L313="Level 2", VLOOKUP(I313, UserCodes!E:F, 2, FALSE) * H313 * 0.8, 0))</f>
        <v/>
      </c>
      <c r="K313" t="inlineStr">
        <is>
          <t>Ahmed, Jama</t>
        </is>
      </c>
      <c r="L313">
        <f>VLOOKUP(K313, UserCodes!A:B, 2, FALSE)</f>
        <v/>
      </c>
      <c r="M313" t="inlineStr">
        <is>
          <t>No schedule</t>
        </is>
      </c>
    </row>
    <row r="314">
      <c r="A314" t="inlineStr">
        <is>
          <t>Abdi, Samira</t>
        </is>
      </c>
      <c r="B314" s="3" t="n">
        <v>46014</v>
      </c>
      <c r="C314" t="inlineStr">
        <is>
          <t>12:15 PM - 08:00 PM</t>
        </is>
      </c>
      <c r="D314" t="inlineStr">
        <is>
          <t>07:45</t>
        </is>
      </c>
      <c r="E314">
        <f>HOUR(D314)+MINUTE(D314)/100</f>
        <v/>
      </c>
      <c r="F314">
        <f>ROUND(INT(E314) + (E314 - INT(E314)) * 100 / 60, 2)</f>
        <v/>
      </c>
      <c r="G314">
        <f>E314*4</f>
        <v/>
      </c>
      <c r="H314">
        <f>LET(total, INT(E314)*60 + (E314-INT(E314))*100, blocks, QUOTIENT(total, 15), extra, MOD(total, 15), units, blocks + IF(extra&gt;=8, 1, 0), units)</f>
        <v/>
      </c>
      <c r="I314" t="inlineStr">
        <is>
          <t>1/1 
97153</t>
        </is>
      </c>
      <c r="J314">
        <f>IF(L314="Level 1", VLOOKUP(I314, UserCodes!E:F, 2, FALSE) * H314, IF(L314="Level 2", VLOOKUP(I314, UserCodes!E:F, 2, FALSE) * H314 * 0.8, 0))</f>
        <v/>
      </c>
      <c r="K314" t="inlineStr">
        <is>
          <t>Ran, Sameya</t>
        </is>
      </c>
      <c r="L314">
        <f>VLOOKUP(K314, UserCodes!A:B, 2, FALSE)</f>
        <v/>
      </c>
    </row>
    <row r="315">
      <c r="A315" t="inlineStr">
        <is>
          <t>Abdulkadir, Nadra</t>
        </is>
      </c>
      <c r="B315" s="3" t="n">
        <v>46014</v>
      </c>
      <c r="C315" t="inlineStr">
        <is>
          <t>01:30 PM - 04:30 PM</t>
        </is>
      </c>
      <c r="D315" t="inlineStr">
        <is>
          <t>03:00</t>
        </is>
      </c>
      <c r="E315">
        <f>HOUR(D315)+MINUTE(D315)/100</f>
        <v/>
      </c>
      <c r="F315">
        <f>ROUND(INT(E315) + (E315 - INT(E315)) * 100 / 60, 2)</f>
        <v/>
      </c>
      <c r="G315">
        <f>E315*4</f>
        <v/>
      </c>
      <c r="H315">
        <f>LET(total, INT(E315)*60 + (E315-INT(E315))*100, blocks, QUOTIENT(total, 15), extra, MOD(total, 15), units, blocks + IF(extra&gt;=8, 1, 0), units)</f>
        <v/>
      </c>
      <c r="I315" t="inlineStr">
        <is>
          <t>O&amp;D 
97155</t>
        </is>
      </c>
      <c r="J315">
        <f>IF(L315="Level 1", VLOOKUP(I315, UserCodes!E:F, 2, FALSE) * H315, IF(L315="Level 2", VLOOKUP(I315, UserCodes!E:F, 2, FALSE) * H315 * 0.8, 0))</f>
        <v/>
      </c>
      <c r="K315" t="inlineStr">
        <is>
          <t>Mohamed, Madar</t>
        </is>
      </c>
      <c r="L315">
        <f>VLOOKUP(K315, UserCodes!A:B, 2, FALSE)</f>
        <v/>
      </c>
    </row>
    <row r="316">
      <c r="A316" t="inlineStr">
        <is>
          <t>Abdulkadir, Nadra</t>
        </is>
      </c>
      <c r="B316" s="3" t="n">
        <v>46014</v>
      </c>
      <c r="C316" t="inlineStr">
        <is>
          <t>01:30 PM - 06:30 PM</t>
        </is>
      </c>
      <c r="D316" t="inlineStr">
        <is>
          <t>05:00</t>
        </is>
      </c>
      <c r="E316">
        <f>HOUR(D316)+MINUTE(D316)/100</f>
        <v/>
      </c>
      <c r="F316">
        <f>ROUND(INT(E316) + (E316 - INT(E316)) * 100 / 60, 2)</f>
        <v/>
      </c>
      <c r="G316">
        <f>E316*4</f>
        <v/>
      </c>
      <c r="H316">
        <f>LET(total, INT(E316)*60 + (E316-INT(E316))*100, blocks, QUOTIENT(total, 15), extra, MOD(total, 15), units, blocks + IF(extra&gt;=8, 1, 0), units)</f>
        <v/>
      </c>
      <c r="I316" t="inlineStr">
        <is>
          <t>1/1 
97153</t>
        </is>
      </c>
      <c r="J316">
        <f>IF(L316="Level 1", VLOOKUP(I316, UserCodes!E:F, 2, FALSE) * H316, IF(L316="Level 2", VLOOKUP(I316, UserCodes!E:F, 2, FALSE) * H316 * 0.8, 0))</f>
        <v/>
      </c>
      <c r="K316" t="inlineStr">
        <is>
          <t>Hashi, Ridwan</t>
        </is>
      </c>
      <c r="L316">
        <f>VLOOKUP(K316, UserCodes!A:B, 2, FALSE)</f>
        <v/>
      </c>
    </row>
    <row r="317">
      <c r="A317" t="inlineStr">
        <is>
          <t>Abdullahi, Abdirahman</t>
        </is>
      </c>
      <c r="B317" s="3" t="n">
        <v>46014</v>
      </c>
      <c r="C317" t="inlineStr">
        <is>
          <t>11:00 AM - 05:00 PM</t>
        </is>
      </c>
      <c r="D317" t="inlineStr">
        <is>
          <t>06:00</t>
        </is>
      </c>
      <c r="E317">
        <f>HOUR(D317)+MINUTE(D317)/100</f>
        <v/>
      </c>
      <c r="F317">
        <f>ROUND(INT(E317) + (E317 - INT(E317)) * 100 / 60, 2)</f>
        <v/>
      </c>
      <c r="G317">
        <f>E317*4</f>
        <v/>
      </c>
      <c r="H317">
        <f>LET(total, INT(E317)*60 + (E317-INT(E317))*100, blocks, QUOTIENT(total, 15), extra, MOD(total, 15), units, blocks + IF(extra&gt;=8, 1, 0), units)</f>
        <v/>
      </c>
      <c r="I317" t="inlineStr">
        <is>
          <t>1/1 
97153</t>
        </is>
      </c>
      <c r="J317">
        <f>IF(L317="Level 1", VLOOKUP(I317, UserCodes!E:F, 2, FALSE) * H317, IF(L317="Level 2", VLOOKUP(I317, UserCodes!E:F, 2, FALSE) * H317 * 0.8, 0))</f>
        <v/>
      </c>
      <c r="K317" t="inlineStr">
        <is>
          <t>Ali, Naima</t>
        </is>
      </c>
      <c r="L317">
        <f>VLOOKUP(K317, UserCodes!A:B, 2, FALSE)</f>
        <v/>
      </c>
    </row>
    <row r="318">
      <c r="A318" t="inlineStr">
        <is>
          <t>Ali, Saami</t>
        </is>
      </c>
      <c r="B318" s="3" t="n">
        <v>46014</v>
      </c>
      <c r="C318" t="inlineStr">
        <is>
          <t>12:30 PM - 08:00 PM</t>
        </is>
      </c>
      <c r="D318" t="inlineStr">
        <is>
          <t>07:30</t>
        </is>
      </c>
      <c r="E318">
        <f>HOUR(D318)+MINUTE(D318)/100</f>
        <v/>
      </c>
      <c r="F318">
        <f>ROUND(INT(E318) + (E318 - INT(E318)) * 100 / 60, 2)</f>
        <v/>
      </c>
      <c r="G318">
        <f>E318*4</f>
        <v/>
      </c>
      <c r="H318">
        <f>LET(total, INT(E318)*60 + (E318-INT(E318))*100, blocks, QUOTIENT(total, 15), extra, MOD(total, 15), units, blocks + IF(extra&gt;=8, 1, 0), units)</f>
        <v/>
      </c>
      <c r="I318" t="inlineStr">
        <is>
          <t>1/1 
97153</t>
        </is>
      </c>
      <c r="J318">
        <f>IF(L318="Level 1", VLOOKUP(I318, UserCodes!E:F, 2, FALSE) * H318, IF(L318="Level 2", VLOOKUP(I318, UserCodes!E:F, 2, FALSE) * H318 * 0.8, 0))</f>
        <v/>
      </c>
      <c r="K318" t="inlineStr">
        <is>
          <t>Muse, Aaliya</t>
        </is>
      </c>
      <c r="L318">
        <f>VLOOKUP(K318, UserCodes!A:B, 2, FALSE)</f>
        <v/>
      </c>
    </row>
    <row r="319">
      <c r="A319" t="inlineStr">
        <is>
          <t>Yusuf, Khadija</t>
        </is>
      </c>
      <c r="B319" s="3" t="n">
        <v>46014</v>
      </c>
      <c r="C319" t="inlineStr">
        <is>
          <t>10:00 AM - 12:30 PM</t>
        </is>
      </c>
      <c r="D319" t="inlineStr">
        <is>
          <t>02:30</t>
        </is>
      </c>
      <c r="E319">
        <f>HOUR(D319)+MINUTE(D319)/100</f>
        <v/>
      </c>
      <c r="F319">
        <f>ROUND(INT(E319) + (E319 - INT(E319)) * 100 / 60, 2)</f>
        <v/>
      </c>
      <c r="G319">
        <f>E319*4</f>
        <v/>
      </c>
      <c r="H319">
        <f>LET(total, INT(E319)*60 + (E319-INT(E319))*100, blocks, QUOTIENT(total, 15), extra, MOD(total, 15), units, blocks + IF(extra&gt;=8, 1, 0), units)</f>
        <v/>
      </c>
      <c r="I319" t="inlineStr">
        <is>
          <t>1/1 
97153</t>
        </is>
      </c>
      <c r="J319">
        <f>IF(L319="Level 1", VLOOKUP(I319, UserCodes!E:F, 2, FALSE) * H319, IF(L319="Level 2", VLOOKUP(I319, UserCodes!E:F, 2, FALSE) * H319 * 0.8, 0))</f>
        <v/>
      </c>
      <c r="K319" t="inlineStr">
        <is>
          <t>Noor, Kamilo</t>
        </is>
      </c>
      <c r="L319">
        <f>VLOOKUP(K319, UserCodes!A:B, 2, FALSE)</f>
        <v/>
      </c>
    </row>
    <row r="320">
      <c r="A320" t="inlineStr">
        <is>
          <t>Abdi, Ahmed</t>
        </is>
      </c>
      <c r="B320" s="3" t="n">
        <v>46014</v>
      </c>
      <c r="C320" t="inlineStr">
        <is>
          <t>03:30pm - 08:00pm</t>
        </is>
      </c>
      <c r="E320">
        <f>HOUR(D320)+MINUTE(D320)/100</f>
        <v/>
      </c>
      <c r="F320">
        <f>ROUND(INT(E320) + (E320 - INT(E320)) * 100 / 60, 2)</f>
        <v/>
      </c>
      <c r="G320">
        <f>E320*4</f>
        <v/>
      </c>
      <c r="H320">
        <f>LET(total, INT(E320)*60 + (E320-INT(E320))*100, blocks, QUOTIENT(total, 15), extra, MOD(total, 15), units, blocks + IF(extra&gt;=8, 1, 0), units)</f>
        <v/>
      </c>
      <c r="I320" t="inlineStr">
        <is>
          <t>1/1 
97153</t>
        </is>
      </c>
      <c r="J320">
        <f>IF(L320="Level 1", VLOOKUP(I320, UserCodes!E:F, 2, FALSE) * H320, IF(L320="Level 2", VLOOKUP(I320, UserCodes!E:F, 2, FALSE) * H320 * 0.8, 0))</f>
        <v/>
      </c>
      <c r="K320" t="inlineStr">
        <is>
          <t>Ibrahim, Ahmed</t>
        </is>
      </c>
      <c r="L320">
        <f>VLOOKUP(K320, UserCodes!A:B, 2, FALSE)</f>
        <v/>
      </c>
      <c r="M320" t="inlineStr">
        <is>
          <t>No note</t>
        </is>
      </c>
    </row>
    <row r="321">
      <c r="A321" t="inlineStr">
        <is>
          <t>Jama, Khadija</t>
        </is>
      </c>
      <c r="B321" s="3" t="n">
        <v>46014</v>
      </c>
      <c r="C321" t="inlineStr">
        <is>
          <t>01:00 PM - 01:30 PM</t>
        </is>
      </c>
      <c r="D321" t="inlineStr">
        <is>
          <t>00:30</t>
        </is>
      </c>
      <c r="E321">
        <f>HOUR(D321)+MINUTE(D321)/100</f>
        <v/>
      </c>
      <c r="F321">
        <f>ROUND(INT(E321) + (E321 - INT(E321)) * 100 / 60, 2)</f>
        <v/>
      </c>
      <c r="G321">
        <f>E321*4</f>
        <v/>
      </c>
      <c r="H321">
        <f>LET(total, INT(E321)*60 + (E321-INT(E321))*100, blocks, QUOTIENT(total, 15), extra, MOD(total, 15), units, blocks + IF(extra&gt;=8, 1, 0), units)</f>
        <v/>
      </c>
      <c r="I321" t="inlineStr">
        <is>
          <t>1/1 
97153</t>
        </is>
      </c>
      <c r="J321">
        <f>IF(L321="Level 1", VLOOKUP(I321, UserCodes!E:F, 2, FALSE) * H321, IF(L321="Level 2", VLOOKUP(I321, UserCodes!E:F, 2, FALSE) * H321 * 0.8, 0))</f>
        <v/>
      </c>
      <c r="K321" t="inlineStr">
        <is>
          <t>Noor, Kamilo</t>
        </is>
      </c>
      <c r="L321">
        <f>VLOOKUP(K321, UserCodes!A:B, 2, FALSE)</f>
        <v/>
      </c>
    </row>
    <row r="322">
      <c r="A322" t="inlineStr">
        <is>
          <t>Jama, Khadija</t>
        </is>
      </c>
      <c r="B322" s="3" t="n">
        <v>46014</v>
      </c>
      <c r="C322" t="inlineStr">
        <is>
          <t>09:00 AM - 01:00 PM</t>
        </is>
      </c>
      <c r="D322" t="inlineStr">
        <is>
          <t>04:00</t>
        </is>
      </c>
      <c r="E322">
        <f>HOUR(D322)+MINUTE(D322)/100</f>
        <v/>
      </c>
      <c r="F322">
        <f>ROUND(INT(E322) + (E322 - INT(E322)) * 100 / 60, 2)</f>
        <v/>
      </c>
      <c r="G322">
        <f>E322*4</f>
        <v/>
      </c>
      <c r="H322">
        <f>LET(total, INT(E322)*60 + (E322-INT(E322))*100, blocks, QUOTIENT(total, 15), extra, MOD(total, 15), units, blocks + IF(extra&gt;=8, 1, 0), units)</f>
        <v/>
      </c>
      <c r="I322" t="inlineStr">
        <is>
          <t>1/1 
97153</t>
        </is>
      </c>
      <c r="J322">
        <f>IF(L322="Level 1", VLOOKUP(I322, UserCodes!E:F, 2, FALSE) * H322, IF(L322="Level 2", VLOOKUP(I322, UserCodes!E:F, 2, FALSE) * H322 * 0.8, 0))</f>
        <v/>
      </c>
      <c r="K322" t="inlineStr">
        <is>
          <t>Barqab, Mushtaq</t>
        </is>
      </c>
      <c r="L322">
        <f>VLOOKUP(K322, UserCodes!A:B, 2, FALSE)</f>
        <v/>
      </c>
    </row>
    <row r="323">
      <c r="A323" t="inlineStr">
        <is>
          <t>Kadir, Hamdi</t>
        </is>
      </c>
      <c r="B323" s="3" t="n">
        <v>46014</v>
      </c>
      <c r="C323" t="inlineStr">
        <is>
          <t>12:00 PM - 12:30 PM</t>
        </is>
      </c>
      <c r="D323" t="inlineStr">
        <is>
          <t>00:30</t>
        </is>
      </c>
      <c r="E323">
        <f>HOUR(D323)+MINUTE(D323)/100</f>
        <v/>
      </c>
      <c r="F323">
        <f>ROUND(INT(E323) + (E323 - INT(E323)) * 100 / 60, 2)</f>
        <v/>
      </c>
      <c r="G323">
        <f>E323*4</f>
        <v/>
      </c>
      <c r="H323">
        <f>LET(total, INT(E323)*60 + (E323-INT(E323))*100, blocks, QUOTIENT(total, 15), extra, MOD(total, 15), units, blocks + IF(extra&gt;=8, 1, 0), units)</f>
        <v/>
      </c>
      <c r="I323" t="inlineStr">
        <is>
          <t>1/1 
97153</t>
        </is>
      </c>
      <c r="J323">
        <f>IF(L323="Level 1", VLOOKUP(I323, UserCodes!E:F, 2, FALSE) * H323, IF(L323="Level 2", VLOOKUP(I323, UserCodes!E:F, 2, FALSE) * H323 * 0.8, 0))</f>
        <v/>
      </c>
      <c r="K323" t="inlineStr">
        <is>
          <t>Muse, Aaliya</t>
        </is>
      </c>
      <c r="L323">
        <f>VLOOKUP(K323, UserCodes!A:B, 2, FALSE)</f>
        <v/>
      </c>
    </row>
    <row r="324">
      <c r="A324" t="inlineStr">
        <is>
          <t>Kadir, Hamdi</t>
        </is>
      </c>
      <c r="B324" s="3" t="n">
        <v>46014</v>
      </c>
      <c r="C324" t="inlineStr">
        <is>
          <t>09:00 AM - 12:00 PM</t>
        </is>
      </c>
      <c r="D324" t="inlineStr">
        <is>
          <t>03:00</t>
        </is>
      </c>
      <c r="E324">
        <f>HOUR(D324)+MINUTE(D324)/100</f>
        <v/>
      </c>
      <c r="F324">
        <f>ROUND(INT(E324) + (E324 - INT(E324)) * 100 / 60, 2)</f>
        <v/>
      </c>
      <c r="G324">
        <f>E324*4</f>
        <v/>
      </c>
      <c r="H324">
        <f>LET(total, INT(E324)*60 + (E324-INT(E324))*100, blocks, QUOTIENT(total, 15), extra, MOD(total, 15), units, blocks + IF(extra&gt;=8, 1, 0), units)</f>
        <v/>
      </c>
      <c r="I324" t="inlineStr">
        <is>
          <t>1/1 
97153</t>
        </is>
      </c>
      <c r="J324">
        <f>IF(L324="Level 1", VLOOKUP(I324, UserCodes!E:F, 2, FALSE) * H324, IF(L324="Level 2", VLOOKUP(I324, UserCodes!E:F, 2, FALSE) * H324 * 0.8, 0))</f>
        <v/>
      </c>
      <c r="K324" t="inlineStr">
        <is>
          <t>Muse, Aaliya</t>
        </is>
      </c>
      <c r="L324">
        <f>VLOOKUP(K324, UserCodes!A:B, 2, FALSE)</f>
        <v/>
      </c>
    </row>
    <row r="325">
      <c r="A325" t="inlineStr">
        <is>
          <t>Mohamed, Sumaya</t>
        </is>
      </c>
      <c r="B325" s="3" t="n">
        <v>46014</v>
      </c>
      <c r="C325" t="inlineStr">
        <is>
          <t>09:05 AM - 05:00 PM</t>
        </is>
      </c>
      <c r="D325" t="inlineStr">
        <is>
          <t>07:55</t>
        </is>
      </c>
      <c r="E325">
        <f>HOUR(D325)+MINUTE(D325)/100</f>
        <v/>
      </c>
      <c r="F325">
        <f>ROUND(INT(E325) + (E325 - INT(E325)) * 100 / 60, 2)</f>
        <v/>
      </c>
      <c r="G325">
        <f>E325*4</f>
        <v/>
      </c>
      <c r="H325">
        <f>LET(total, INT(E325)*60 + (E325-INT(E325))*100, blocks, QUOTIENT(total, 15), extra, MOD(total, 15), units, blocks + IF(extra&gt;=8, 1, 0), units)</f>
        <v/>
      </c>
      <c r="I325" t="inlineStr">
        <is>
          <t>1/1 
97153</t>
        </is>
      </c>
      <c r="J325">
        <f>IF(L325="Level 1", VLOOKUP(I325, UserCodes!E:F, 2, FALSE) * H325, IF(L325="Level 2", VLOOKUP(I325, UserCodes!E:F, 2, FALSE) * H325 * 0.8, 0))</f>
        <v/>
      </c>
      <c r="K325" t="inlineStr">
        <is>
          <t>ALI, AMIRA</t>
        </is>
      </c>
      <c r="L325">
        <f>VLOOKUP(K325, UserCodes!A:B, 2, FALSE)</f>
        <v/>
      </c>
    </row>
    <row r="326">
      <c r="A326" t="inlineStr">
        <is>
          <t>Yusuf 2, Khadra</t>
        </is>
      </c>
      <c r="B326" s="3" t="n">
        <v>46014</v>
      </c>
      <c r="C326" t="inlineStr">
        <is>
          <t>01:15 PM - 03:40 PM</t>
        </is>
      </c>
      <c r="D326" t="inlineStr">
        <is>
          <t>02:25</t>
        </is>
      </c>
      <c r="E326">
        <f>HOUR(D326)+MINUTE(D326)/100</f>
        <v/>
      </c>
      <c r="F326">
        <f>ROUND(INT(E326) + (E326 - INT(E326)) * 100 / 60, 2)</f>
        <v/>
      </c>
      <c r="G326">
        <f>E326*4</f>
        <v/>
      </c>
      <c r="H326">
        <f>LET(total, INT(E326)*60 + (E326-INT(E326))*100, blocks, QUOTIENT(total, 15), extra, MOD(total, 15), units, blocks + IF(extra&gt;=8, 1, 0), units)</f>
        <v/>
      </c>
      <c r="J326">
        <f>IF(L326="Level 1", VLOOKUP(I326, UserCodes!E:F, 2, FALSE) * H326, IF(L326="Level 2", VLOOKUP(I326, UserCodes!E:F, 2, FALSE) * H326 * 0.8, 0))</f>
        <v/>
      </c>
      <c r="K326" t="inlineStr">
        <is>
          <t>Ahmed, Jama</t>
        </is>
      </c>
      <c r="L326">
        <f>VLOOKUP(K326, UserCodes!A:B, 2, FALSE)</f>
        <v/>
      </c>
      <c r="M326" t="inlineStr">
        <is>
          <t>No schedule</t>
        </is>
      </c>
    </row>
    <row r="327">
      <c r="A327" t="inlineStr">
        <is>
          <t>Yusuf 2, Khadra</t>
        </is>
      </c>
      <c r="B327" s="3" t="n">
        <v>46014</v>
      </c>
      <c r="C327" t="inlineStr">
        <is>
          <t>12:30 PM - 06:00 PM</t>
        </is>
      </c>
      <c r="D327" t="inlineStr">
        <is>
          <t>05:30</t>
        </is>
      </c>
      <c r="E327">
        <f>HOUR(D327)+MINUTE(D327)/100</f>
        <v/>
      </c>
      <c r="F327">
        <f>ROUND(INT(E327) + (E327 - INT(E327)) * 100 / 60, 2)</f>
        <v/>
      </c>
      <c r="G327">
        <f>E327*4</f>
        <v/>
      </c>
      <c r="H327">
        <f>LET(total, INT(E327)*60 + (E327-INT(E327))*100, blocks, QUOTIENT(total, 15), extra, MOD(total, 15), units, blocks + IF(extra&gt;=8, 1, 0), units)</f>
        <v/>
      </c>
      <c r="I327" t="inlineStr">
        <is>
          <t>1/1 
97153</t>
        </is>
      </c>
      <c r="J327">
        <f>IF(L327="Level 1", VLOOKUP(I327, UserCodes!E:F, 2, FALSE) * H327, IF(L327="Level 2", VLOOKUP(I327, UserCodes!E:F, 2, FALSE) * H327 * 0.8, 0))</f>
        <v/>
      </c>
      <c r="K327" t="inlineStr">
        <is>
          <t>Muse, Ayni</t>
        </is>
      </c>
      <c r="L327">
        <f>VLOOKUP(K327, UserCodes!A:B, 2, FALSE)</f>
        <v/>
      </c>
    </row>
    <row r="328">
      <c r="A328" t="inlineStr">
        <is>
          <t>Yusuf 2, Khadra</t>
        </is>
      </c>
      <c r="B328" s="3" t="n">
        <v>46014</v>
      </c>
      <c r="C328" t="inlineStr">
        <is>
          <t>10:00 AM - 12:00 PM</t>
        </is>
      </c>
      <c r="D328" t="inlineStr">
        <is>
          <t>02:00</t>
        </is>
      </c>
      <c r="E328">
        <f>HOUR(D328)+MINUTE(D328)/100</f>
        <v/>
      </c>
      <c r="F328">
        <f>ROUND(INT(E328) + (E328 - INT(E328)) * 100 / 60, 2)</f>
        <v/>
      </c>
      <c r="G328">
        <f>E328*4</f>
        <v/>
      </c>
      <c r="H328">
        <f>LET(total, INT(E328)*60 + (E328-INT(E328))*100, blocks, QUOTIENT(total, 15), extra, MOD(total, 15), units, blocks + IF(extra&gt;=8, 1, 0), units)</f>
        <v/>
      </c>
      <c r="I328" t="inlineStr">
        <is>
          <t>1/1 
97153</t>
        </is>
      </c>
      <c r="J328">
        <f>IF(L328="Level 1", VLOOKUP(I328, UserCodes!E:F, 2, FALSE) * H328, IF(L328="Level 2", VLOOKUP(I328, UserCodes!E:F, 2, FALSE) * H328 * 0.8, 0))</f>
        <v/>
      </c>
      <c r="K328" t="inlineStr">
        <is>
          <t>Muse, Ayni</t>
        </is>
      </c>
      <c r="L328">
        <f>VLOOKUP(K328, UserCodes!A:B, 2, FALSE)</f>
        <v/>
      </c>
    </row>
    <row r="329">
      <c r="A329" t="inlineStr">
        <is>
          <t>Yusuf, Khadija</t>
        </is>
      </c>
      <c r="B329" s="3" t="n">
        <v>46014</v>
      </c>
      <c r="C329" t="inlineStr">
        <is>
          <t>01:00 PM - 06:00 PM</t>
        </is>
      </c>
      <c r="D329" t="inlineStr">
        <is>
          <t>05:00</t>
        </is>
      </c>
      <c r="E329">
        <f>HOUR(D329)+MINUTE(D329)/100</f>
        <v/>
      </c>
      <c r="F329">
        <f>ROUND(INT(E329) + (E329 - INT(E329)) * 100 / 60, 2)</f>
        <v/>
      </c>
      <c r="G329">
        <f>E329*4</f>
        <v/>
      </c>
      <c r="H329">
        <f>LET(total, INT(E329)*60 + (E329-INT(E329))*100, blocks, QUOTIENT(total, 15), extra, MOD(total, 15), units, blocks + IF(extra&gt;=8, 1, 0), units)</f>
        <v/>
      </c>
      <c r="I329" t="inlineStr">
        <is>
          <t>1/1 
97153</t>
        </is>
      </c>
      <c r="J329">
        <f>IF(L329="Level 1", VLOOKUP(I329, UserCodes!E:F, 2, FALSE) * H329, IF(L329="Level 2", VLOOKUP(I329, UserCodes!E:F, 2, FALSE) * H329 * 0.8, 0))</f>
        <v/>
      </c>
      <c r="K329" t="inlineStr">
        <is>
          <t>Muse, Adna</t>
        </is>
      </c>
      <c r="L329">
        <f>VLOOKUP(K329, UserCodes!A:B, 2, FALSE)</f>
        <v/>
      </c>
    </row>
    <row r="330">
      <c r="A330" t="inlineStr">
        <is>
          <t>Yusuf, Khadija</t>
        </is>
      </c>
      <c r="B330" s="3" t="n">
        <v>46014</v>
      </c>
      <c r="C330" t="inlineStr">
        <is>
          <t>12:30 PM - 01:00 PM</t>
        </is>
      </c>
      <c r="D330" t="inlineStr">
        <is>
          <t>00:30</t>
        </is>
      </c>
      <c r="E330">
        <f>HOUR(D330)+MINUTE(D330)/100</f>
        <v/>
      </c>
      <c r="F330">
        <f>ROUND(INT(E330) + (E330 - INT(E330)) * 100 / 60, 2)</f>
        <v/>
      </c>
      <c r="G330">
        <f>E330*4</f>
        <v/>
      </c>
      <c r="H330">
        <f>LET(total, INT(E330)*60 + (E330-INT(E330))*100, blocks, QUOTIENT(total, 15), extra, MOD(total, 15), units, blocks + IF(extra&gt;=8, 1, 0), units)</f>
        <v/>
      </c>
      <c r="I330" t="inlineStr">
        <is>
          <t>1/1 
97153</t>
        </is>
      </c>
      <c r="J330">
        <f>IF(L330="Level 1", VLOOKUP(I330, UserCodes!E:F, 2, FALSE) * H330, IF(L330="Level 2", VLOOKUP(I330, UserCodes!E:F, 2, FALSE) * H330 * 0.8, 0))</f>
        <v/>
      </c>
      <c r="K330" t="inlineStr">
        <is>
          <t>Noor, Kamilo</t>
        </is>
      </c>
      <c r="L330">
        <f>VLOOKUP(K330, UserCodes!A:B, 2, FALSE)</f>
        <v/>
      </c>
    </row>
    <row r="331">
      <c r="A331" t="inlineStr">
        <is>
          <t>Jama, Khadija</t>
        </is>
      </c>
      <c r="B331" s="3" t="n">
        <v>46014</v>
      </c>
      <c r="C331" t="inlineStr">
        <is>
          <t>01:30 PM - 05:00 PM</t>
        </is>
      </c>
      <c r="D331" t="inlineStr">
        <is>
          <t>03:30</t>
        </is>
      </c>
      <c r="E331">
        <f>HOUR(D331)+MINUTE(D331)/100</f>
        <v/>
      </c>
      <c r="F331">
        <f>ROUND(INT(E331) + (E331 - INT(E331)) * 100 / 60, 2)</f>
        <v/>
      </c>
      <c r="G331">
        <f>E331*4</f>
        <v/>
      </c>
      <c r="H331">
        <f>LET(total, INT(E331)*60 + (E331-INT(E331))*100, blocks, QUOTIENT(total, 15), extra, MOD(total, 15), units, blocks + IF(extra&gt;=8, 1, 0), units)</f>
        <v/>
      </c>
      <c r="I331" t="inlineStr">
        <is>
          <t>1/1 
97153</t>
        </is>
      </c>
      <c r="J331">
        <f>IF(L331="Level 1", VLOOKUP(I331, UserCodes!E:F, 2, FALSE) * H331, IF(L331="Level 2", VLOOKUP(I331, UserCodes!E:F, 2, FALSE) * H331 * 0.8, 0))</f>
        <v/>
      </c>
      <c r="K331" t="inlineStr">
        <is>
          <t>Barqab, Mushtaq</t>
        </is>
      </c>
      <c r="L331">
        <f>VLOOKUP(K331, UserCodes!A:B, 2, FALSE)</f>
        <v/>
      </c>
    </row>
    <row r="332">
      <c r="A332" t="inlineStr">
        <is>
          <t>Abdi, Safia</t>
        </is>
      </c>
      <c r="B332" s="3" t="n">
        <v>46014</v>
      </c>
      <c r="C332" t="inlineStr">
        <is>
          <t>04:30pm - 06:30pm</t>
        </is>
      </c>
      <c r="E332">
        <f>HOUR(D332)+MINUTE(D332)/100</f>
        <v/>
      </c>
      <c r="F332">
        <f>ROUND(INT(E332) + (E332 - INT(E332)) * 100 / 60, 2)</f>
        <v/>
      </c>
      <c r="G332">
        <f>E332*4</f>
        <v/>
      </c>
      <c r="H332">
        <f>LET(total, INT(E332)*60 + (E332-INT(E332))*100, blocks, QUOTIENT(total, 15), extra, MOD(total, 15), units, blocks + IF(extra&gt;=8, 1, 0), units)</f>
        <v/>
      </c>
      <c r="I332" t="inlineStr">
        <is>
          <t>O&amp;D 
97155</t>
        </is>
      </c>
      <c r="J332">
        <f>IF(L332="Level 1", VLOOKUP(I332, UserCodes!E:F, 2, FALSE) * H332, IF(L332="Level 2", VLOOKUP(I332, UserCodes!E:F, 2, FALSE) * H332 * 0.8, 0))</f>
        <v/>
      </c>
      <c r="K332" t="inlineStr">
        <is>
          <t>mohamed, Madar</t>
        </is>
      </c>
      <c r="L332">
        <f>VLOOKUP(K332, UserCodes!A:B, 2, FALSE)</f>
        <v/>
      </c>
      <c r="M332" t="inlineStr">
        <is>
          <t>No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Abdulkadir, Nadra</t>
        </is>
      </c>
      <c r="B2" s="3" t="n">
        <v>46001</v>
      </c>
      <c r="C2" t="inlineStr">
        <is>
          <t>01:00 PM - 03:00 PM</t>
        </is>
      </c>
      <c r="D2" t="inlineStr">
        <is>
          <t>02:00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O&amp;D 
97155</t>
        </is>
      </c>
      <c r="J2">
        <f>IF(L2="Level 1", VLOOKUP(I2, UserCodes!E:F, 2, FALSE) * H2, IF(L2="Level 2", VLOOKUP(I2, UserCodes!E:F, 2, FALSE) * H2 * 0.8, 0))</f>
        <v/>
      </c>
      <c r="K2" t="inlineStr">
        <is>
          <t>Mohamed, Madar</t>
        </is>
      </c>
      <c r="L2">
        <f>VLOOKUP(K2, UserCodes!A:B, 2, FALSE)</f>
        <v/>
      </c>
    </row>
    <row r="3">
      <c r="A3" t="inlineStr">
        <is>
          <t>Abdulkadir, Nadra</t>
        </is>
      </c>
      <c r="B3" s="3" t="n">
        <v>46001</v>
      </c>
      <c r="C3" t="inlineStr">
        <is>
          <t>01:30 PM - 06:30 PM</t>
        </is>
      </c>
      <c r="D3" t="inlineStr">
        <is>
          <t>05:00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1/1 
97153</t>
        </is>
      </c>
      <c r="J3">
        <f>IF(L3="Level 1", VLOOKUP(I3, UserCodes!E:F, 2, FALSE) * H3, IF(L3="Level 2", VLOOKUP(I3, UserCodes!E:F, 2, FALSE) * H3 * 0.8, 0))</f>
        <v/>
      </c>
      <c r="K3" t="inlineStr">
        <is>
          <t>ALI, AMIRA</t>
        </is>
      </c>
      <c r="L3">
        <f>VLOOKUP(K3, UserCodes!A:B, 2, FALSE)</f>
        <v/>
      </c>
    </row>
    <row r="4">
      <c r="A4" t="inlineStr">
        <is>
          <t>Abdulkadir, Nadra</t>
        </is>
      </c>
      <c r="B4" s="3" t="n">
        <v>46001</v>
      </c>
      <c r="C4" t="inlineStr">
        <is>
          <t>01:30 PM - 03:50 PM</t>
        </is>
      </c>
      <c r="D4" t="inlineStr">
        <is>
          <t>02:20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J4">
        <f>IF(L4="Level 1", VLOOKUP(I4, UserCodes!E:F, 2, FALSE) * H4, IF(L4="Level 2", VLOOKUP(I4, UserCodes!E:F, 2, FALSE) * H4 * 0.8, 0))</f>
        <v/>
      </c>
      <c r="K4" t="inlineStr">
        <is>
          <t>Ahmed, Jama</t>
        </is>
      </c>
      <c r="L4">
        <f>VLOOKUP(K4, UserCodes!A:B, 2, FALSE)</f>
        <v/>
      </c>
      <c r="M4" t="inlineStr">
        <is>
          <t>No schedule</t>
        </is>
      </c>
    </row>
    <row r="5">
      <c r="A5" t="inlineStr">
        <is>
          <t>Abdulkadir, Nadra</t>
        </is>
      </c>
      <c r="B5" s="3" t="n">
        <v>46001</v>
      </c>
      <c r="C5" t="inlineStr">
        <is>
          <t>01:30 PM - 05:00 PM</t>
        </is>
      </c>
      <c r="D5" t="inlineStr">
        <is>
          <t>03:30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O&amp;D 
97155</t>
        </is>
      </c>
      <c r="J5">
        <f>IF(L5="Level 1", VLOOKUP(I5, UserCodes!E:F, 2, FALSE) * H5, IF(L5="Level 2", VLOOKUP(I5, UserCodes!E:F, 2, FALSE) * H5 * 0.8, 0))</f>
        <v/>
      </c>
      <c r="K5" t="inlineStr">
        <is>
          <t>Mohamed, Madar</t>
        </is>
      </c>
      <c r="L5">
        <f>VLOOKUP(K5, UserCodes!A:B, 2, FALSE)</f>
        <v/>
      </c>
    </row>
    <row r="6">
      <c r="A6" t="inlineStr">
        <is>
          <t>Abdulkadir, Nadra</t>
        </is>
      </c>
      <c r="B6" s="3" t="n">
        <v>46002</v>
      </c>
      <c r="C6" t="inlineStr">
        <is>
          <t>01:30 PM - 06:30 PM</t>
        </is>
      </c>
      <c r="D6" t="inlineStr">
        <is>
          <t>05:00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Ali, Nasteho</t>
        </is>
      </c>
      <c r="L6">
        <f>VLOOKUP(K6, UserCodes!A:B, 2, FALSE)</f>
        <v/>
      </c>
    </row>
    <row r="7">
      <c r="A7" t="inlineStr">
        <is>
          <t>Abdulkadir, Nadra</t>
        </is>
      </c>
      <c r="B7" s="3" t="n">
        <v>46002</v>
      </c>
      <c r="C7" t="inlineStr">
        <is>
          <t>11:30am - 02:30pm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O&amp;D 
97155</t>
        </is>
      </c>
      <c r="J7">
        <f>IF(L7="Level 1", VLOOKUP(I7, UserCodes!E:F, 2, FALSE) * H7, IF(L7="Level 2", VLOOKUP(I7, UserCodes!E:F, 2, FALSE) * H7 * 0.8, 0))</f>
        <v/>
      </c>
      <c r="K7" t="inlineStr">
        <is>
          <t>mohamed, Madar</t>
        </is>
      </c>
      <c r="L7">
        <f>VLOOKUP(K7, UserCodes!A:B, 2, FALSE)</f>
        <v/>
      </c>
      <c r="M7" t="inlineStr">
        <is>
          <t>No note</t>
        </is>
      </c>
    </row>
    <row r="8">
      <c r="A8" t="inlineStr">
        <is>
          <t>Abdulkadir, Nadra</t>
        </is>
      </c>
      <c r="B8" s="3" t="n">
        <v>46003</v>
      </c>
      <c r="C8" t="inlineStr">
        <is>
          <t>01:00 PM - 04:30 PM</t>
        </is>
      </c>
      <c r="D8" t="inlineStr">
        <is>
          <t>03:30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O&amp;D 
97155</t>
        </is>
      </c>
      <c r="J8">
        <f>IF(L8="Level 1", VLOOKUP(I8, UserCodes!E:F, 2, FALSE) * H8, IF(L8="Level 2", VLOOKUP(I8, UserCodes!E:F, 2, FALSE) * H8 * 0.8, 0))</f>
        <v/>
      </c>
      <c r="K8" t="inlineStr">
        <is>
          <t>Mohamed, Madar</t>
        </is>
      </c>
      <c r="L8">
        <f>VLOOKUP(K8, UserCodes!A:B, 2, FALSE)</f>
        <v/>
      </c>
    </row>
    <row r="9">
      <c r="A9" t="inlineStr">
        <is>
          <t>Abdulkadir, Nadra</t>
        </is>
      </c>
      <c r="B9" s="3" t="n">
        <v>46003</v>
      </c>
      <c r="C9" t="inlineStr">
        <is>
          <t>01:30 PM - 06:30 PM</t>
        </is>
      </c>
      <c r="D9" t="inlineStr">
        <is>
          <t>05:00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1/1 
97153</t>
        </is>
      </c>
      <c r="J9">
        <f>IF(L9="Level 1", VLOOKUP(I9, UserCodes!E:F, 2, FALSE) * H9, IF(L9="Level 2", VLOOKUP(I9, UserCodes!E:F, 2, FALSE) * H9 * 0.8, 0))</f>
        <v/>
      </c>
      <c r="K9" t="inlineStr">
        <is>
          <t>Ali, Nasteho</t>
        </is>
      </c>
      <c r="L9">
        <f>VLOOKUP(K9, UserCodes!A:B, 2, FALSE)</f>
        <v/>
      </c>
    </row>
    <row r="10">
      <c r="A10" t="inlineStr">
        <is>
          <t>Abdulkadir, Nadra</t>
        </is>
      </c>
      <c r="B10" s="3" t="n">
        <v>46004</v>
      </c>
      <c r="C10" t="inlineStr">
        <is>
          <t>12:30 PM - 05:00 PM</t>
        </is>
      </c>
      <c r="D10" t="inlineStr">
        <is>
          <t>04:30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1/1 
97153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ALI, AMIRA</t>
        </is>
      </c>
      <c r="L10">
        <f>VLOOKUP(K10, UserCodes!A:B, 2, FALSE)</f>
        <v/>
      </c>
    </row>
    <row r="11">
      <c r="A11" t="inlineStr">
        <is>
          <t>Abdulkadir, Nadra</t>
        </is>
      </c>
      <c r="B11" s="3" t="n">
        <v>46004</v>
      </c>
      <c r="C11" t="inlineStr">
        <is>
          <t>10:00 AM - 01:00 PM</t>
        </is>
      </c>
      <c r="D11" t="inlineStr">
        <is>
          <t>03:00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O&amp;D 
97155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Mohamed, Madar</t>
        </is>
      </c>
      <c r="L11">
        <f>VLOOKUP(K11, UserCodes!A:B, 2, FALSE)</f>
        <v/>
      </c>
    </row>
    <row r="12">
      <c r="A12" t="inlineStr">
        <is>
          <t>Abdulkadir, Nadra</t>
        </is>
      </c>
      <c r="B12" s="3" t="n">
        <v>46004</v>
      </c>
      <c r="C12" t="inlineStr">
        <is>
          <t>09:00 AM - 12:00 PM</t>
        </is>
      </c>
      <c r="D12" t="inlineStr">
        <is>
          <t>03:00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1/1 
97153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ALI, AMIRA</t>
        </is>
      </c>
      <c r="L12">
        <f>VLOOKUP(K12, UserCodes!A:B, 2, FALSE)</f>
        <v/>
      </c>
    </row>
    <row r="13">
      <c r="A13" t="inlineStr">
        <is>
          <t>Abdulkadir, Nadra</t>
        </is>
      </c>
      <c r="B13" s="3" t="n">
        <v>46005</v>
      </c>
      <c r="C13" t="inlineStr">
        <is>
          <t>09:30 AM - 11:45 AM</t>
        </is>
      </c>
      <c r="D13" t="inlineStr">
        <is>
          <t>02:15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J13">
        <f>IF(L13="Level 1", VLOOKUP(I13, UserCodes!E:F, 2, FALSE) * H13, IF(L13="Level 2", VLOOKUP(I13, UserCodes!E:F, 2, FALSE) * H13 * 0.8, 0))</f>
        <v/>
      </c>
      <c r="K13" t="inlineStr">
        <is>
          <t>Ahmed, Jama</t>
        </is>
      </c>
      <c r="L13">
        <f>VLOOKUP(K13, UserCodes!A:B, 2, FALSE)</f>
        <v/>
      </c>
      <c r="M13" t="inlineStr">
        <is>
          <t>No schedule</t>
        </is>
      </c>
    </row>
    <row r="14">
      <c r="A14" t="inlineStr">
        <is>
          <t>Abdulkadir, Nadra</t>
        </is>
      </c>
      <c r="B14" s="3" t="n">
        <v>46006</v>
      </c>
      <c r="C14" t="inlineStr">
        <is>
          <t>12:00 PM - 03:00 PM</t>
        </is>
      </c>
      <c r="D14" t="inlineStr">
        <is>
          <t>03:00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O&amp;D 
97155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Mohamed, Madar</t>
        </is>
      </c>
      <c r="L14">
        <f>VLOOKUP(K14, UserCodes!A:B, 2, FALSE)</f>
        <v/>
      </c>
    </row>
    <row r="15">
      <c r="A15" t="inlineStr">
        <is>
          <t>Abdulkadir, Nadra</t>
        </is>
      </c>
      <c r="B15" s="3" t="n">
        <v>46006</v>
      </c>
      <c r="C15" t="inlineStr">
        <is>
          <t>11:30 AM - 06:30 PM</t>
        </is>
      </c>
      <c r="D15" t="inlineStr">
        <is>
          <t>07:00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1/1 
97153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ALI, AMIRA</t>
        </is>
      </c>
      <c r="L15">
        <f>VLOOKUP(K15, UserCodes!A:B, 2, FALSE)</f>
        <v/>
      </c>
    </row>
    <row r="16">
      <c r="A16" t="inlineStr">
        <is>
          <t>Abdulkadir, Nadra</t>
        </is>
      </c>
      <c r="B16" s="3" t="n">
        <v>46007</v>
      </c>
      <c r="C16" t="inlineStr">
        <is>
          <t>04:00 PM - 06:20 PM</t>
        </is>
      </c>
      <c r="D16" t="inlineStr">
        <is>
          <t>02:20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1/1 
97153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Muse, Ayni</t>
        </is>
      </c>
      <c r="L16">
        <f>VLOOKUP(K16, UserCodes!A:B, 2, FALSE)</f>
        <v/>
      </c>
    </row>
    <row r="17">
      <c r="A17" t="inlineStr">
        <is>
          <t>Abdulkadir, Nadra</t>
        </is>
      </c>
      <c r="B17" s="3" t="n">
        <v>46007</v>
      </c>
      <c r="C17" t="inlineStr">
        <is>
          <t>01:30 PM - 04:00 PM</t>
        </is>
      </c>
      <c r="D17" t="inlineStr">
        <is>
          <t>02:30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O&amp;D 
97155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Mohamed, Madar</t>
        </is>
      </c>
      <c r="L17">
        <f>VLOOKUP(K17, UserCodes!A:B, 2, FALSE)</f>
        <v/>
      </c>
    </row>
    <row r="18">
      <c r="A18" t="inlineStr">
        <is>
          <t>Abdulkadir, Nadra</t>
        </is>
      </c>
      <c r="B18" s="3" t="n">
        <v>46007</v>
      </c>
      <c r="C18" t="inlineStr">
        <is>
          <t>01:30 PM - 04:00 PM</t>
        </is>
      </c>
      <c r="D18" t="inlineStr">
        <is>
          <t>02:30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Ali, Nasteho</t>
        </is>
      </c>
      <c r="L18">
        <f>VLOOKUP(K18, UserCodes!A:B, 2, FALSE)</f>
        <v/>
      </c>
    </row>
    <row r="19">
      <c r="A19" t="inlineStr">
        <is>
          <t>Abdulkadir, Nadra</t>
        </is>
      </c>
      <c r="B19" s="3" t="n">
        <v>46008</v>
      </c>
      <c r="C19" t="inlineStr">
        <is>
          <t>01:30 PM - 04:30 PM</t>
        </is>
      </c>
      <c r="D19" t="inlineStr">
        <is>
          <t>03:00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O&amp;D 
97155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Mohamed, Madar</t>
        </is>
      </c>
      <c r="L19">
        <f>VLOOKUP(K19, UserCodes!A:B, 2, FALSE)</f>
        <v/>
      </c>
    </row>
    <row r="20">
      <c r="A20" t="inlineStr">
        <is>
          <t>Abdulkadir, Nadra</t>
        </is>
      </c>
      <c r="B20" s="3" t="n">
        <v>46008</v>
      </c>
      <c r="C20" t="inlineStr">
        <is>
          <t>01:30 PM - 06:30 PM</t>
        </is>
      </c>
      <c r="D20" t="inlineStr">
        <is>
          <t>05:00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I20" t="inlineStr">
        <is>
          <t>1/1 
97153</t>
        </is>
      </c>
      <c r="J20">
        <f>IF(L20="Level 1", VLOOKUP(I20, UserCodes!E:F, 2, FALSE) * H20, IF(L20="Level 2", VLOOKUP(I20, UserCodes!E:F, 2, FALSE) * H20 * 0.8, 0))</f>
        <v/>
      </c>
      <c r="K20" t="inlineStr">
        <is>
          <t>ALI, AMIRA</t>
        </is>
      </c>
      <c r="L20">
        <f>VLOOKUP(K20, UserCodes!A:B, 2, FALSE)</f>
        <v/>
      </c>
    </row>
    <row r="21">
      <c r="A21" t="inlineStr">
        <is>
          <t>Abdulkadir, Nadra</t>
        </is>
      </c>
      <c r="B21" s="3" t="n">
        <v>46009</v>
      </c>
      <c r="C21" t="inlineStr">
        <is>
          <t>12:00 PM - 03:00 PM</t>
        </is>
      </c>
      <c r="D21" t="inlineStr">
        <is>
          <t>03:00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I21" t="inlineStr">
        <is>
          <t>O&amp;D 
97155</t>
        </is>
      </c>
      <c r="J21">
        <f>IF(L21="Level 1", VLOOKUP(I21, UserCodes!E:F, 2, FALSE) * H21, IF(L21="Level 2", VLOOKUP(I21, UserCodes!E:F, 2, FALSE) * H21 * 0.8, 0))</f>
        <v/>
      </c>
      <c r="K21" t="inlineStr">
        <is>
          <t>Mohamed, Madar</t>
        </is>
      </c>
      <c r="L21">
        <f>VLOOKUP(K21, UserCodes!A:B, 2, FALSE)</f>
        <v/>
      </c>
    </row>
    <row r="22">
      <c r="A22" t="inlineStr">
        <is>
          <t>Abdulkadir, Nadra</t>
        </is>
      </c>
      <c r="B22" s="3" t="n">
        <v>46009</v>
      </c>
      <c r="C22" t="inlineStr">
        <is>
          <t>11:00 AM - 06:30 PM</t>
        </is>
      </c>
      <c r="D22" t="inlineStr">
        <is>
          <t>07:30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I22" t="inlineStr">
        <is>
          <t>1/1 
97153</t>
        </is>
      </c>
      <c r="J22">
        <f>IF(L22="Level 1", VLOOKUP(I22, UserCodes!E:F, 2, FALSE) * H22, IF(L22="Level 2", VLOOKUP(I22, UserCodes!E:F, 2, FALSE) * H22 * 0.8, 0))</f>
        <v/>
      </c>
      <c r="K22" t="inlineStr">
        <is>
          <t>Ran, Sameya</t>
        </is>
      </c>
      <c r="L22">
        <f>VLOOKUP(K22, UserCodes!A:B, 2, FALSE)</f>
        <v/>
      </c>
    </row>
    <row r="23">
      <c r="A23" t="inlineStr">
        <is>
          <t>Abdulkadir, Nadra</t>
        </is>
      </c>
      <c r="B23" s="3" t="n">
        <v>46010</v>
      </c>
      <c r="C23" t="inlineStr">
        <is>
          <t>01:30 PM - 04:00 PM</t>
        </is>
      </c>
      <c r="D23" t="inlineStr">
        <is>
          <t>02:30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I23" t="inlineStr">
        <is>
          <t>O&amp;D 
97155</t>
        </is>
      </c>
      <c r="J23">
        <f>IF(L23="Level 1", VLOOKUP(I23, UserCodes!E:F, 2, FALSE) * H23, IF(L23="Level 2", VLOOKUP(I23, UserCodes!E:F, 2, FALSE) * H23 * 0.8, 0))</f>
        <v/>
      </c>
      <c r="K23" t="inlineStr">
        <is>
          <t>Mohamed, Madar</t>
        </is>
      </c>
      <c r="L23">
        <f>VLOOKUP(K23, UserCodes!A:B, 2, FALSE)</f>
        <v/>
      </c>
    </row>
    <row r="24">
      <c r="A24" t="inlineStr">
        <is>
          <t>Abdulkadir, Nadra</t>
        </is>
      </c>
      <c r="B24" s="3" t="n">
        <v>46010</v>
      </c>
      <c r="C24" t="inlineStr">
        <is>
          <t>01:30 PM - 04:00 PM</t>
        </is>
      </c>
      <c r="D24" t="inlineStr">
        <is>
          <t>02:30</t>
        </is>
      </c>
      <c r="E24">
        <f>HOUR(D24)+MINUTE(D24)/100</f>
        <v/>
      </c>
      <c r="F24">
        <f>ROUND(INT(E24) + (E24 - INT(E24)) * 100 / 60, 2)</f>
        <v/>
      </c>
      <c r="G24">
        <f>E24*4</f>
        <v/>
      </c>
      <c r="H24">
        <f>LET(total, INT(E24)*60 + (E24-INT(E24))*100, blocks, QUOTIENT(total, 15), extra, MOD(total, 15), units, blocks + IF(extra&gt;=8, 1, 0), units)</f>
        <v/>
      </c>
      <c r="I24" t="inlineStr">
        <is>
          <t>1/1 
97153</t>
        </is>
      </c>
      <c r="J24">
        <f>IF(L24="Level 1", VLOOKUP(I24, UserCodes!E:F, 2, FALSE) * H24, IF(L24="Level 2", VLOOKUP(I24, UserCodes!E:F, 2, FALSE) * H24 * 0.8, 0))</f>
        <v/>
      </c>
      <c r="K24" t="inlineStr">
        <is>
          <t>Ali, Nasteho</t>
        </is>
      </c>
      <c r="L24">
        <f>VLOOKUP(K24, UserCodes!A:B, 2, FALSE)</f>
        <v/>
      </c>
    </row>
    <row r="25">
      <c r="A25" t="inlineStr">
        <is>
          <t>Abdulkadir, Nadra</t>
        </is>
      </c>
      <c r="B25" s="3" t="n">
        <v>46010</v>
      </c>
      <c r="C25" t="inlineStr">
        <is>
          <t>04:00 PM - 06:30 PM</t>
        </is>
      </c>
      <c r="D25" t="inlineStr">
        <is>
          <t>02:30</t>
        </is>
      </c>
      <c r="E25">
        <f>HOUR(D25)+MINUTE(D25)/100</f>
        <v/>
      </c>
      <c r="F25">
        <f>ROUND(INT(E25) + (E25 - INT(E25)) * 100 / 60, 2)</f>
        <v/>
      </c>
      <c r="G25">
        <f>E25*4</f>
        <v/>
      </c>
      <c r="H25">
        <f>LET(total, INT(E25)*60 + (E25-INT(E25))*100, blocks, QUOTIENT(total, 15), extra, MOD(total, 15), units, blocks + IF(extra&gt;=8, 1, 0), units)</f>
        <v/>
      </c>
      <c r="I25" t="inlineStr">
        <is>
          <t>1/1 
97153</t>
        </is>
      </c>
      <c r="J25">
        <f>IF(L25="Level 1", VLOOKUP(I25, UserCodes!E:F, 2, FALSE) * H25, IF(L25="Level 2", VLOOKUP(I25, UserCodes!E:F, 2, FALSE) * H25 * 0.8, 0))</f>
        <v/>
      </c>
      <c r="K25" t="inlineStr">
        <is>
          <t>Muse, Ayni</t>
        </is>
      </c>
      <c r="L25">
        <f>VLOOKUP(K25, UserCodes!A:B, 2, FALSE)</f>
        <v/>
      </c>
    </row>
    <row r="26">
      <c r="A26" t="inlineStr">
        <is>
          <t>Abdulkadir, Nadra</t>
        </is>
      </c>
      <c r="B26" s="3" t="n">
        <v>46010</v>
      </c>
      <c r="C26" t="inlineStr">
        <is>
          <t>04:00 PM - 04:30 PM</t>
        </is>
      </c>
      <c r="D26" t="inlineStr">
        <is>
          <t>00:30</t>
        </is>
      </c>
      <c r="E26">
        <f>HOUR(D26)+MINUTE(D26)/100</f>
        <v/>
      </c>
      <c r="F26">
        <f>ROUND(INT(E26) + (E26 - INT(E26)) * 100 / 60, 2)</f>
        <v/>
      </c>
      <c r="G26">
        <f>E26*4</f>
        <v/>
      </c>
      <c r="H26">
        <f>LET(total, INT(E26)*60 + (E26-INT(E26))*100, blocks, QUOTIENT(total, 15), extra, MOD(total, 15), units, blocks + IF(extra&gt;=8, 1, 0), units)</f>
        <v/>
      </c>
      <c r="I26" t="inlineStr">
        <is>
          <t>O&amp;D 
97155</t>
        </is>
      </c>
      <c r="J26">
        <f>IF(L26="Level 1", VLOOKUP(I26, UserCodes!E:F, 2, FALSE) * H26, IF(L26="Level 2", VLOOKUP(I26, UserCodes!E:F, 2, FALSE) * H26 * 0.8, 0))</f>
        <v/>
      </c>
      <c r="K26" t="inlineStr">
        <is>
          <t>Mohamed, Madar</t>
        </is>
      </c>
      <c r="L26">
        <f>VLOOKUP(K26, UserCodes!A:B, 2, FALSE)</f>
        <v/>
      </c>
    </row>
    <row r="27">
      <c r="A27" t="inlineStr">
        <is>
          <t>Abdulkadir, Nadra</t>
        </is>
      </c>
      <c r="B27" s="3" t="n">
        <v>46013</v>
      </c>
      <c r="C27" t="inlineStr">
        <is>
          <t>04:30 PM - 06:30 PM</t>
        </is>
      </c>
      <c r="D27" t="inlineStr">
        <is>
          <t>02:00</t>
        </is>
      </c>
      <c r="E27">
        <f>HOUR(D27)+MINUTE(D27)/100</f>
        <v/>
      </c>
      <c r="F27">
        <f>ROUND(INT(E27) + (E27 - INT(E27)) * 100 / 60, 2)</f>
        <v/>
      </c>
      <c r="G27">
        <f>E27*4</f>
        <v/>
      </c>
      <c r="H27">
        <f>LET(total, INT(E27)*60 + (E27-INT(E27))*100, blocks, QUOTIENT(total, 15), extra, MOD(total, 15), units, blocks + IF(extra&gt;=8, 1, 0), units)</f>
        <v/>
      </c>
      <c r="I27" t="inlineStr">
        <is>
          <t>1/1 
97153</t>
        </is>
      </c>
      <c r="J27">
        <f>IF(L27="Level 1", VLOOKUP(I27, UserCodes!E:F, 2, FALSE) * H27, IF(L27="Level 2", VLOOKUP(I27, UserCodes!E:F, 2, FALSE) * H27 * 0.8, 0))</f>
        <v/>
      </c>
      <c r="K27" t="inlineStr">
        <is>
          <t>ALI, AMIRA</t>
        </is>
      </c>
      <c r="L27">
        <f>VLOOKUP(K27, UserCodes!A:B, 2, FALSE)</f>
        <v/>
      </c>
    </row>
    <row r="28">
      <c r="A28" t="inlineStr">
        <is>
          <t>Abdulkadir, Nadra</t>
        </is>
      </c>
      <c r="B28" s="3" t="n">
        <v>46013</v>
      </c>
      <c r="C28" t="inlineStr">
        <is>
          <t>12:00 PM - 03:00 PM</t>
        </is>
      </c>
      <c r="D28" t="inlineStr">
        <is>
          <t>03:00</t>
        </is>
      </c>
      <c r="E28">
        <f>HOUR(D28)+MINUTE(D28)/100</f>
        <v/>
      </c>
      <c r="F28">
        <f>ROUND(INT(E28) + (E28 - INT(E28)) * 100 / 60, 2)</f>
        <v/>
      </c>
      <c r="G28">
        <f>E28*4</f>
        <v/>
      </c>
      <c r="H28">
        <f>LET(total, INT(E28)*60 + (E28-INT(E28))*100, blocks, QUOTIENT(total, 15), extra, MOD(total, 15), units, blocks + IF(extra&gt;=8, 1, 0), units)</f>
        <v/>
      </c>
      <c r="I28" t="inlineStr">
        <is>
          <t>O&amp;D 
97155</t>
        </is>
      </c>
      <c r="J28">
        <f>IF(L28="Level 1", VLOOKUP(I28, UserCodes!E:F, 2, FALSE) * H28, IF(L28="Level 2", VLOOKUP(I28, UserCodes!E:F, 2, FALSE) * H28 * 0.8, 0))</f>
        <v/>
      </c>
      <c r="K28" t="inlineStr">
        <is>
          <t>Mohamed, Madar</t>
        </is>
      </c>
      <c r="L28">
        <f>VLOOKUP(K28, UserCodes!A:B, 2, FALSE)</f>
        <v/>
      </c>
    </row>
    <row r="29">
      <c r="A29" t="inlineStr">
        <is>
          <t>Abdulkadir, Nadra</t>
        </is>
      </c>
      <c r="B29" s="3" t="n">
        <v>46013</v>
      </c>
      <c r="C29" t="inlineStr">
        <is>
          <t>11:30 AM - 04:00 PM</t>
        </is>
      </c>
      <c r="D29" t="inlineStr">
        <is>
          <t>04:30</t>
        </is>
      </c>
      <c r="E29">
        <f>HOUR(D29)+MINUTE(D29)/100</f>
        <v/>
      </c>
      <c r="F29">
        <f>ROUND(INT(E29) + (E29 - INT(E29)) * 100 / 60, 2)</f>
        <v/>
      </c>
      <c r="G29">
        <f>E29*4</f>
        <v/>
      </c>
      <c r="H29">
        <f>LET(total, INT(E29)*60 + (E29-INT(E29))*100, blocks, QUOTIENT(total, 15), extra, MOD(total, 15), units, blocks + IF(extra&gt;=8, 1, 0), units)</f>
        <v/>
      </c>
      <c r="I29" t="inlineStr">
        <is>
          <t>1/1 
97153</t>
        </is>
      </c>
      <c r="J29">
        <f>IF(L29="Level 1", VLOOKUP(I29, UserCodes!E:F, 2, FALSE) * H29, IF(L29="Level 2", VLOOKUP(I29, UserCodes!E:F, 2, FALSE) * H29 * 0.8, 0))</f>
        <v/>
      </c>
      <c r="K29" t="inlineStr">
        <is>
          <t>ALI, AMIRA</t>
        </is>
      </c>
      <c r="L29">
        <f>VLOOKUP(K29, UserCodes!A:B, 2, FALSE)</f>
        <v/>
      </c>
    </row>
    <row r="30">
      <c r="A30" t="inlineStr">
        <is>
          <t>Abdulkadir, Nadra</t>
        </is>
      </c>
      <c r="B30" s="3" t="n">
        <v>46013</v>
      </c>
      <c r="C30" t="inlineStr">
        <is>
          <t>01:00 PM - 03:15 PM</t>
        </is>
      </c>
      <c r="D30" t="inlineStr">
        <is>
          <t>02:15</t>
        </is>
      </c>
      <c r="E30">
        <f>HOUR(D30)+MINUTE(D30)/100</f>
        <v/>
      </c>
      <c r="F30">
        <f>ROUND(INT(E30) + (E30 - INT(E30)) * 100 / 60, 2)</f>
        <v/>
      </c>
      <c r="G30">
        <f>E30*4</f>
        <v/>
      </c>
      <c r="H30">
        <f>LET(total, INT(E30)*60 + (E30-INT(E30))*100, blocks, QUOTIENT(total, 15), extra, MOD(total, 15), units, blocks + IF(extra&gt;=8, 1, 0), units)</f>
        <v/>
      </c>
      <c r="J30">
        <f>IF(L30="Level 1", VLOOKUP(I30, UserCodes!E:F, 2, FALSE) * H30, IF(L30="Level 2", VLOOKUP(I30, UserCodes!E:F, 2, FALSE) * H30 * 0.8, 0))</f>
        <v/>
      </c>
      <c r="K30" t="inlineStr">
        <is>
          <t>Ahmed, Jama</t>
        </is>
      </c>
      <c r="L30">
        <f>VLOOKUP(K30, UserCodes!A:B, 2, FALSE)</f>
        <v/>
      </c>
      <c r="M30" t="inlineStr">
        <is>
          <t>No schedule</t>
        </is>
      </c>
    </row>
    <row r="31">
      <c r="A31" t="inlineStr">
        <is>
          <t>Abdulkadir, Nadra</t>
        </is>
      </c>
      <c r="B31" s="3" t="n">
        <v>46014</v>
      </c>
      <c r="C31" t="inlineStr">
        <is>
          <t>01:30 PM - 04:30 PM</t>
        </is>
      </c>
      <c r="D31" t="inlineStr">
        <is>
          <t>03:00</t>
        </is>
      </c>
      <c r="E31">
        <f>HOUR(D31)+MINUTE(D31)/100</f>
        <v/>
      </c>
      <c r="F31">
        <f>ROUND(INT(E31) + (E31 - INT(E31)) * 100 / 60, 2)</f>
        <v/>
      </c>
      <c r="G31">
        <f>E31*4</f>
        <v/>
      </c>
      <c r="H31">
        <f>LET(total, INT(E31)*60 + (E31-INT(E31))*100, blocks, QUOTIENT(total, 15), extra, MOD(total, 15), units, blocks + IF(extra&gt;=8, 1, 0), units)</f>
        <v/>
      </c>
      <c r="I31" t="inlineStr">
        <is>
          <t>O&amp;D 
97155</t>
        </is>
      </c>
      <c r="J31">
        <f>IF(L31="Level 1", VLOOKUP(I31, UserCodes!E:F, 2, FALSE) * H31, IF(L31="Level 2", VLOOKUP(I31, UserCodes!E:F, 2, FALSE) * H31 * 0.8, 0))</f>
        <v/>
      </c>
      <c r="K31" t="inlineStr">
        <is>
          <t>Mohamed, Madar</t>
        </is>
      </c>
      <c r="L31">
        <f>VLOOKUP(K31, UserCodes!A:B, 2, FALSE)</f>
        <v/>
      </c>
    </row>
    <row r="32">
      <c r="A32" t="inlineStr">
        <is>
          <t>Abdulkadir, Nadra</t>
        </is>
      </c>
      <c r="B32" s="3" t="n">
        <v>46014</v>
      </c>
      <c r="C32" t="inlineStr">
        <is>
          <t>01:30 PM - 06:30 PM</t>
        </is>
      </c>
      <c r="D32" t="inlineStr">
        <is>
          <t>05:00</t>
        </is>
      </c>
      <c r="E32">
        <f>HOUR(D32)+MINUTE(D32)/100</f>
        <v/>
      </c>
      <c r="F32">
        <f>ROUND(INT(E32) + (E32 - INT(E32)) * 100 / 60, 2)</f>
        <v/>
      </c>
      <c r="G32">
        <f>E32*4</f>
        <v/>
      </c>
      <c r="H32">
        <f>LET(total, INT(E32)*60 + (E32-INT(E32))*100, blocks, QUOTIENT(total, 15), extra, MOD(total, 15), units, blocks + IF(extra&gt;=8, 1, 0), units)</f>
        <v/>
      </c>
      <c r="I32" t="inlineStr">
        <is>
          <t>1/1 
97153</t>
        </is>
      </c>
      <c r="J32">
        <f>IF(L32="Level 1", VLOOKUP(I32, UserCodes!E:F, 2, FALSE) * H32, IF(L32="Level 2", VLOOKUP(I32, UserCodes!E:F, 2, FALSE) * H32 * 0.8, 0))</f>
        <v/>
      </c>
      <c r="K32" t="inlineStr">
        <is>
          <t>Hashi, Ridwan</t>
        </is>
      </c>
      <c r="L32">
        <f>VLOOKUP(K32, UserCodes!A:B, 2, FALSE)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Yusuf, Khadija</t>
        </is>
      </c>
      <c r="B2" s="3" t="n">
        <v>46001</v>
      </c>
      <c r="C2" t="inlineStr">
        <is>
          <t>01:00 PM - 05:30 PM</t>
        </is>
      </c>
      <c r="D2" t="inlineStr">
        <is>
          <t>04:30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1/1 
97153</t>
        </is>
      </c>
      <c r="J2">
        <f>IF(L2="Level 1", VLOOKUP(I2, UserCodes!E:F, 2, FALSE) * H2, IF(L2="Level 2", VLOOKUP(I2, UserCodes!E:F, 2, FALSE) * H2 * 0.8, 0))</f>
        <v/>
      </c>
      <c r="K2" t="inlineStr">
        <is>
          <t>Ali, Naima</t>
        </is>
      </c>
      <c r="L2">
        <f>VLOOKUP(K2, UserCodes!A:B, 2, FALSE)</f>
        <v/>
      </c>
    </row>
    <row r="3">
      <c r="A3" t="inlineStr">
        <is>
          <t>Yusuf, Khadija</t>
        </is>
      </c>
      <c r="B3" s="3" t="n">
        <v>46001</v>
      </c>
      <c r="C3" t="inlineStr">
        <is>
          <t>01:00 PM - 04:00 PM</t>
        </is>
      </c>
      <c r="D3" t="inlineStr">
        <is>
          <t>03:00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O&amp;D 
97155</t>
        </is>
      </c>
      <c r="J3">
        <f>IF(L3="Level 1", VLOOKUP(I3, UserCodes!E:F, 2, FALSE) * H3, IF(L3="Level 2", VLOOKUP(I3, UserCodes!E:F, 2, FALSE) * H3 * 0.8, 0))</f>
        <v/>
      </c>
      <c r="K3" t="inlineStr">
        <is>
          <t>Muse, Ayni</t>
        </is>
      </c>
      <c r="L3">
        <f>VLOOKUP(K3, UserCodes!A:B, 2, FALSE)</f>
        <v/>
      </c>
    </row>
    <row r="4">
      <c r="A4" t="inlineStr">
        <is>
          <t>Yusuf, Khadija</t>
        </is>
      </c>
      <c r="B4" s="3" t="n">
        <v>46002</v>
      </c>
      <c r="C4" t="inlineStr">
        <is>
          <t>01:00 PM - 06:00 PM</t>
        </is>
      </c>
      <c r="D4" t="inlineStr">
        <is>
          <t>05:00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1/1 
97153</t>
        </is>
      </c>
      <c r="J4">
        <f>IF(L4="Level 1", VLOOKUP(I4, UserCodes!E:F, 2, FALSE) * H4, IF(L4="Level 2", VLOOKUP(I4, UserCodes!E:F, 2, FALSE) * H4 * 0.8, 0))</f>
        <v/>
      </c>
      <c r="K4" t="inlineStr">
        <is>
          <t>Ran, Sameya</t>
        </is>
      </c>
      <c r="L4">
        <f>VLOOKUP(K4, UserCodes!A:B, 2, FALSE)</f>
        <v/>
      </c>
    </row>
    <row r="5">
      <c r="A5" t="inlineStr">
        <is>
          <t>Yusuf, Khadija</t>
        </is>
      </c>
      <c r="B5" s="3" t="n">
        <v>46002</v>
      </c>
      <c r="C5" t="inlineStr">
        <is>
          <t>01:00 PM - 04:00 PM</t>
        </is>
      </c>
      <c r="D5" t="inlineStr">
        <is>
          <t>03:00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1/1 
97153</t>
        </is>
      </c>
      <c r="J5">
        <f>IF(L5="Level 1", VLOOKUP(I5, UserCodes!E:F, 2, FALSE) * H5, IF(L5="Level 2", VLOOKUP(I5, UserCodes!E:F, 2, FALSE) * H5 * 0.8, 0))</f>
        <v/>
      </c>
      <c r="K5" t="inlineStr">
        <is>
          <t>Noor, Kamilo</t>
        </is>
      </c>
      <c r="L5">
        <f>VLOOKUP(K5, UserCodes!A:B, 2, FALSE)</f>
        <v/>
      </c>
    </row>
    <row r="6">
      <c r="A6" t="inlineStr">
        <is>
          <t>Yusuf, Khadija</t>
        </is>
      </c>
      <c r="B6" s="3" t="n">
        <v>46003</v>
      </c>
      <c r="C6" t="inlineStr">
        <is>
          <t>02:00 PM - 05:00 PM</t>
        </is>
      </c>
      <c r="D6" t="inlineStr">
        <is>
          <t>03:00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O&amp;D 
97155</t>
        </is>
      </c>
      <c r="J6">
        <f>IF(L6="Level 1", VLOOKUP(I6, UserCodes!E:F, 2, FALSE) * H6, IF(L6="Level 2", VLOOKUP(I6, UserCodes!E:F, 2, FALSE) * H6 * 0.8, 0))</f>
        <v/>
      </c>
      <c r="K6" t="inlineStr">
        <is>
          <t>Noor, Kamilo</t>
        </is>
      </c>
      <c r="L6">
        <f>VLOOKUP(K6, UserCodes!A:B, 2, FALSE)</f>
        <v/>
      </c>
    </row>
    <row r="7">
      <c r="A7" t="inlineStr">
        <is>
          <t>Yusuf, Khadija</t>
        </is>
      </c>
      <c r="B7" s="3" t="n">
        <v>46003</v>
      </c>
      <c r="C7" t="inlineStr">
        <is>
          <t>01:00 PM - 06:00 PM</t>
        </is>
      </c>
      <c r="D7" t="inlineStr">
        <is>
          <t>05:00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1/1 
97153</t>
        </is>
      </c>
      <c r="J7">
        <f>IF(L7="Level 1", VLOOKUP(I7, UserCodes!E:F, 2, FALSE) * H7, IF(L7="Level 2", VLOOKUP(I7, UserCodes!E:F, 2, FALSE) * H7 * 0.8, 0))</f>
        <v/>
      </c>
      <c r="K7" t="inlineStr">
        <is>
          <t>Hashi, Ridwan</t>
        </is>
      </c>
      <c r="L7">
        <f>VLOOKUP(K7, UserCodes!A:B, 2, FALSE)</f>
        <v/>
      </c>
    </row>
    <row r="8">
      <c r="A8" t="inlineStr">
        <is>
          <t>Yusuf, Khadija</t>
        </is>
      </c>
      <c r="B8" s="3" t="n">
        <v>46004</v>
      </c>
      <c r="C8" t="inlineStr">
        <is>
          <t>02:00 PM - 02:30 PM</t>
        </is>
      </c>
      <c r="D8" t="inlineStr">
        <is>
          <t>00:30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1/1 
97153</t>
        </is>
      </c>
      <c r="J8">
        <f>IF(L8="Level 1", VLOOKUP(I8, UserCodes!E:F, 2, FALSE) * H8, IF(L8="Level 2", VLOOKUP(I8, UserCodes!E:F, 2, FALSE) * H8 * 0.8, 0))</f>
        <v/>
      </c>
      <c r="K8" t="inlineStr">
        <is>
          <t>Ibrahim, Ahmed</t>
        </is>
      </c>
      <c r="L8">
        <f>VLOOKUP(K8, UserCodes!A:B, 2, FALSE)</f>
        <v/>
      </c>
    </row>
    <row r="9">
      <c r="A9" t="inlineStr">
        <is>
          <t>Yusuf, Khadija</t>
        </is>
      </c>
      <c r="B9" s="3" t="n">
        <v>46004</v>
      </c>
      <c r="C9" t="inlineStr">
        <is>
          <t>02:30 PM - 05:00 PM</t>
        </is>
      </c>
      <c r="D9" t="inlineStr">
        <is>
          <t>02:30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1/1 
97153</t>
        </is>
      </c>
      <c r="J9">
        <f>IF(L9="Level 1", VLOOKUP(I9, UserCodes!E:F, 2, FALSE) * H9, IF(L9="Level 2", VLOOKUP(I9, UserCodes!E:F, 2, FALSE) * H9 * 0.8, 0))</f>
        <v/>
      </c>
      <c r="K9" t="inlineStr">
        <is>
          <t>Barqab, Mushtaq</t>
        </is>
      </c>
      <c r="L9">
        <f>VLOOKUP(K9, UserCodes!A:B, 2, FALSE)</f>
        <v/>
      </c>
    </row>
    <row r="10">
      <c r="A10" t="inlineStr">
        <is>
          <t>Yusuf, Khadija</t>
        </is>
      </c>
      <c r="B10" s="3" t="n">
        <v>46004</v>
      </c>
      <c r="C10" t="inlineStr">
        <is>
          <t>10:30 AM - 01:30 PM</t>
        </is>
      </c>
      <c r="D10" t="inlineStr">
        <is>
          <t>03:00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1/1 
97153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Ibrahim, Ahmed</t>
        </is>
      </c>
      <c r="L10">
        <f>VLOOKUP(K10, UserCodes!A:B, 2, FALSE)</f>
        <v/>
      </c>
    </row>
    <row r="11">
      <c r="A11" t="inlineStr">
        <is>
          <t>Yusuf, Khadija</t>
        </is>
      </c>
      <c r="B11" s="3" t="n">
        <v>46004</v>
      </c>
      <c r="C11" t="inlineStr">
        <is>
          <t>09:00 AM - 02:00 PM</t>
        </is>
      </c>
      <c r="D11" t="inlineStr">
        <is>
          <t>05:00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1/1 
97153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Barqab, Mushtaq</t>
        </is>
      </c>
      <c r="L11">
        <f>VLOOKUP(K11, UserCodes!A:B, 2, FALSE)</f>
        <v/>
      </c>
    </row>
    <row r="12">
      <c r="A12" t="inlineStr">
        <is>
          <t>Yusuf, Khadija</t>
        </is>
      </c>
      <c r="B12" s="3" t="n">
        <v>46006</v>
      </c>
      <c r="C12" t="inlineStr">
        <is>
          <t>01:00 PM - 06:00 PM</t>
        </is>
      </c>
      <c r="D12" t="inlineStr">
        <is>
          <t>05:00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1/1 
97153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Ali, Naima</t>
        </is>
      </c>
      <c r="L12">
        <f>VLOOKUP(K12, UserCodes!A:B, 2, FALSE)</f>
        <v/>
      </c>
    </row>
    <row r="13">
      <c r="A13" t="inlineStr">
        <is>
          <t>Yusuf, Khadija</t>
        </is>
      </c>
      <c r="B13" s="3" t="n">
        <v>46006</v>
      </c>
      <c r="C13" t="inlineStr">
        <is>
          <t>10:00 AM - 12:00 PM</t>
        </is>
      </c>
      <c r="D13" t="inlineStr">
        <is>
          <t>02:00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J13">
        <f>IF(L13="Level 1", VLOOKUP(I13, UserCodes!E:F, 2, FALSE) * H13, IF(L13="Level 2", VLOOKUP(I13, UserCodes!E:F, 2, FALSE) * H13 * 0.8, 0))</f>
        <v/>
      </c>
      <c r="K13" t="inlineStr">
        <is>
          <t>Ahmed, Jama</t>
        </is>
      </c>
      <c r="L13">
        <f>VLOOKUP(K13, UserCodes!A:B, 2, FALSE)</f>
        <v/>
      </c>
      <c r="M13" t="inlineStr">
        <is>
          <t>No schedule</t>
        </is>
      </c>
    </row>
    <row r="14">
      <c r="A14" t="inlineStr">
        <is>
          <t>Yusuf, Khadija</t>
        </is>
      </c>
      <c r="B14" s="3" t="n">
        <v>46006</v>
      </c>
      <c r="C14" t="inlineStr">
        <is>
          <t>01:00 PM - 04:00 PM</t>
        </is>
      </c>
      <c r="D14" t="inlineStr">
        <is>
          <t>03:00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O&amp;D 
97155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Hawadle, Abdiaziz</t>
        </is>
      </c>
      <c r="L14">
        <f>VLOOKUP(K14, UserCodes!A:B, 2, FALSE)</f>
        <v/>
      </c>
    </row>
    <row r="15">
      <c r="A15" t="inlineStr">
        <is>
          <t>Yusuf, Khadija</t>
        </is>
      </c>
      <c r="B15" s="3" t="n">
        <v>46007</v>
      </c>
      <c r="C15" t="inlineStr">
        <is>
          <t>01:00 PM - 06:00 PM</t>
        </is>
      </c>
      <c r="D15" t="inlineStr">
        <is>
          <t>05:00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1/1 
97153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Hashi, Ridwan</t>
        </is>
      </c>
      <c r="L15">
        <f>VLOOKUP(K15, UserCodes!A:B, 2, FALSE)</f>
        <v/>
      </c>
    </row>
    <row r="16">
      <c r="A16" t="inlineStr">
        <is>
          <t>Yusuf, Khadija</t>
        </is>
      </c>
      <c r="B16" s="3" t="n">
        <v>46007</v>
      </c>
      <c r="C16" t="inlineStr">
        <is>
          <t>01:00 PM - 04:00 PM</t>
        </is>
      </c>
      <c r="D16" t="inlineStr">
        <is>
          <t>03:00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O&amp;D 
97155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Noor, Kamilo</t>
        </is>
      </c>
      <c r="L16">
        <f>VLOOKUP(K16, UserCodes!A:B, 2, FALSE)</f>
        <v/>
      </c>
    </row>
    <row r="17">
      <c r="A17" t="inlineStr">
        <is>
          <t>Yusuf, Khadija</t>
        </is>
      </c>
      <c r="B17" s="3" t="n">
        <v>46008</v>
      </c>
      <c r="C17" t="inlineStr">
        <is>
          <t>02:00 PM - 05:00 PM</t>
        </is>
      </c>
      <c r="D17" t="inlineStr">
        <is>
          <t>03:00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O&amp;D 
97155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Noor, Kamilo</t>
        </is>
      </c>
      <c r="L17">
        <f>VLOOKUP(K17, UserCodes!A:B, 2, FALSE)</f>
        <v/>
      </c>
    </row>
    <row r="18">
      <c r="A18" t="inlineStr">
        <is>
          <t>Yusuf, Khadija</t>
        </is>
      </c>
      <c r="B18" s="3" t="n">
        <v>46008</v>
      </c>
      <c r="C18" t="inlineStr">
        <is>
          <t>01:00 PM - 06:00 PM</t>
        </is>
      </c>
      <c r="D18" t="inlineStr">
        <is>
          <t>05:00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Ran, Sameya</t>
        </is>
      </c>
      <c r="L18">
        <f>VLOOKUP(K18, UserCodes!A:B, 2, FALSE)</f>
        <v/>
      </c>
    </row>
    <row r="19">
      <c r="A19" t="inlineStr">
        <is>
          <t>Yusuf, Khadija</t>
        </is>
      </c>
      <c r="B19" s="3" t="n">
        <v>46009</v>
      </c>
      <c r="C19" t="inlineStr">
        <is>
          <t>04:00 PM - 06:00 PM</t>
        </is>
      </c>
      <c r="D19" t="inlineStr">
        <is>
          <t>02:00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1/1 
97153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Noor, Kamilo</t>
        </is>
      </c>
      <c r="L19">
        <f>VLOOKUP(K19, UserCodes!A:B, 2, FALSE)</f>
        <v/>
      </c>
    </row>
    <row r="20">
      <c r="A20" t="inlineStr">
        <is>
          <t>Yusuf, Khadija</t>
        </is>
      </c>
      <c r="B20" s="3" t="n">
        <v>46009</v>
      </c>
      <c r="C20" t="inlineStr">
        <is>
          <t>01:00 PM - 04:00 PM</t>
        </is>
      </c>
      <c r="D20" t="inlineStr">
        <is>
          <t>03:00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I20" t="inlineStr">
        <is>
          <t>1/1 
97153</t>
        </is>
      </c>
      <c r="J20">
        <f>IF(L20="Level 1", VLOOKUP(I20, UserCodes!E:F, 2, FALSE) * H20, IF(L20="Level 2", VLOOKUP(I20, UserCodes!E:F, 2, FALSE) * H20 * 0.8, 0))</f>
        <v/>
      </c>
      <c r="K20" t="inlineStr">
        <is>
          <t>Ali, Nasteho</t>
        </is>
      </c>
      <c r="L20">
        <f>VLOOKUP(K20, UserCodes!A:B, 2, FALSE)</f>
        <v/>
      </c>
    </row>
    <row r="21">
      <c r="A21" t="inlineStr">
        <is>
          <t>Yusuf, Khadija</t>
        </is>
      </c>
      <c r="B21" s="3" t="n">
        <v>46009</v>
      </c>
      <c r="C21" t="inlineStr">
        <is>
          <t>01:00 PM - 04:00 PM</t>
        </is>
      </c>
      <c r="D21" t="inlineStr">
        <is>
          <t>03:00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I21" t="inlineStr">
        <is>
          <t>1/1 
97153</t>
        </is>
      </c>
      <c r="J21">
        <f>IF(L21="Level 1", VLOOKUP(I21, UserCodes!E:F, 2, FALSE) * H21, IF(L21="Level 2", VLOOKUP(I21, UserCodes!E:F, 2, FALSE) * H21 * 0.8, 0))</f>
        <v/>
      </c>
      <c r="K21" t="inlineStr">
        <is>
          <t>Noor, Kamilo</t>
        </is>
      </c>
      <c r="L21">
        <f>VLOOKUP(K21, UserCodes!A:B, 2, FALSE)</f>
        <v/>
      </c>
    </row>
    <row r="22">
      <c r="A22" t="inlineStr">
        <is>
          <t>Yusuf, Khadija</t>
        </is>
      </c>
      <c r="B22" s="3" t="n">
        <v>46010</v>
      </c>
      <c r="C22" t="inlineStr">
        <is>
          <t>01:00 PM - 02:30 PM</t>
        </is>
      </c>
      <c r="D22" t="inlineStr">
        <is>
          <t>01:30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I22" t="inlineStr">
        <is>
          <t>1/1 
97153</t>
        </is>
      </c>
      <c r="J22">
        <f>IF(L22="Level 1", VLOOKUP(I22, UserCodes!E:F, 2, FALSE) * H22, IF(L22="Level 2", VLOOKUP(I22, UserCodes!E:F, 2, FALSE) * H22 * 0.8, 0))</f>
        <v/>
      </c>
      <c r="K22" t="inlineStr">
        <is>
          <t>Noor, Kamilo</t>
        </is>
      </c>
      <c r="L22">
        <f>VLOOKUP(K22, UserCodes!A:B, 2, FALSE)</f>
        <v/>
      </c>
    </row>
    <row r="23">
      <c r="A23" t="inlineStr">
        <is>
          <t>Yusuf, Khadija</t>
        </is>
      </c>
      <c r="B23" s="3" t="n">
        <v>46010</v>
      </c>
      <c r="C23" t="inlineStr">
        <is>
          <t>02:30 PM - 06:00 PM</t>
        </is>
      </c>
      <c r="D23" t="inlineStr">
        <is>
          <t>03:30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J23">
        <f>IF(L23="Level 1", VLOOKUP(I23, UserCodes!E:F, 2, FALSE) * H23, IF(L23="Level 2", VLOOKUP(I23, UserCodes!E:F, 2, FALSE) * H23 * 0.8, 0))</f>
        <v/>
      </c>
      <c r="K23" t="inlineStr">
        <is>
          <t>Ran, Sameya</t>
        </is>
      </c>
      <c r="L23">
        <f>VLOOKUP(K23, UserCodes!A:B, 2, FALSE)</f>
        <v/>
      </c>
      <c r="M23" t="inlineStr">
        <is>
          <t>No schedule</t>
        </is>
      </c>
    </row>
    <row r="24">
      <c r="A24" t="inlineStr">
        <is>
          <t>Yusuf, Khadija</t>
        </is>
      </c>
      <c r="B24" s="3" t="n">
        <v>46010</v>
      </c>
      <c r="C24" t="inlineStr">
        <is>
          <t>02:30 PM - 04:00 PM</t>
        </is>
      </c>
      <c r="D24" t="inlineStr">
        <is>
          <t>01:30</t>
        </is>
      </c>
      <c r="E24">
        <f>HOUR(D24)+MINUTE(D24)/100</f>
        <v/>
      </c>
      <c r="F24">
        <f>ROUND(INT(E24) + (E24 - INT(E24)) * 100 / 60, 2)</f>
        <v/>
      </c>
      <c r="G24">
        <f>E24*4</f>
        <v/>
      </c>
      <c r="H24">
        <f>LET(total, INT(E24)*60 + (E24-INT(E24))*100, blocks, QUOTIENT(total, 15), extra, MOD(total, 15), units, blocks + IF(extra&gt;=8, 1, 0), units)</f>
        <v/>
      </c>
      <c r="J24">
        <f>IF(L24="Level 1", VLOOKUP(I24, UserCodes!E:F, 2, FALSE) * H24, IF(L24="Level 2", VLOOKUP(I24, UserCodes!E:F, 2, FALSE) * H24 * 0.8, 0))</f>
        <v/>
      </c>
      <c r="K24" t="inlineStr">
        <is>
          <t>Muse, Ayni</t>
        </is>
      </c>
      <c r="L24">
        <f>VLOOKUP(K24, UserCodes!A:B, 2, FALSE)</f>
        <v/>
      </c>
      <c r="M24" t="inlineStr">
        <is>
          <t>No schedule</t>
        </is>
      </c>
    </row>
    <row r="25">
      <c r="A25" t="inlineStr">
        <is>
          <t>Yusuf, Khadija</t>
        </is>
      </c>
      <c r="B25" s="3" t="n">
        <v>46011</v>
      </c>
      <c r="C25" t="inlineStr">
        <is>
          <t>09:00 AM - 12:00 PM</t>
        </is>
      </c>
      <c r="D25" t="inlineStr">
        <is>
          <t>03:00</t>
        </is>
      </c>
      <c r="E25">
        <f>HOUR(D25)+MINUTE(D25)/100</f>
        <v/>
      </c>
      <c r="F25">
        <f>ROUND(INT(E25) + (E25 - INT(E25)) * 100 / 60, 2)</f>
        <v/>
      </c>
      <c r="G25">
        <f>E25*4</f>
        <v/>
      </c>
      <c r="H25">
        <f>LET(total, INT(E25)*60 + (E25-INT(E25))*100, blocks, QUOTIENT(total, 15), extra, MOD(total, 15), units, blocks + IF(extra&gt;=8, 1, 0), units)</f>
        <v/>
      </c>
      <c r="I25" t="inlineStr">
        <is>
          <t>1/1 
97153</t>
        </is>
      </c>
      <c r="J25">
        <f>IF(L25="Level 1", VLOOKUP(I25, UserCodes!E:F, 2, FALSE) * H25, IF(L25="Level 2", VLOOKUP(I25, UserCodes!E:F, 2, FALSE) * H25 * 0.8, 0))</f>
        <v/>
      </c>
      <c r="K25" t="inlineStr">
        <is>
          <t>Muse, Ayni</t>
        </is>
      </c>
      <c r="L25">
        <f>VLOOKUP(K25, UserCodes!A:B, 2, FALSE)</f>
        <v/>
      </c>
    </row>
    <row r="26">
      <c r="A26" t="inlineStr">
        <is>
          <t>Yusuf, Khadija</t>
        </is>
      </c>
      <c r="B26" s="3" t="n">
        <v>46011</v>
      </c>
      <c r="C26" t="inlineStr">
        <is>
          <t>09:30 AM - 11:30 AM</t>
        </is>
      </c>
      <c r="D26" t="inlineStr">
        <is>
          <t>02:00</t>
        </is>
      </c>
      <c r="E26">
        <f>HOUR(D26)+MINUTE(D26)/100</f>
        <v/>
      </c>
      <c r="F26">
        <f>ROUND(INT(E26) + (E26 - INT(E26)) * 100 / 60, 2)</f>
        <v/>
      </c>
      <c r="G26">
        <f>E26*4</f>
        <v/>
      </c>
      <c r="H26">
        <f>LET(total, INT(E26)*60 + (E26-INT(E26))*100, blocks, QUOTIENT(total, 15), extra, MOD(total, 15), units, blocks + IF(extra&gt;=8, 1, 0), units)</f>
        <v/>
      </c>
      <c r="J26">
        <f>IF(L26="Level 1", VLOOKUP(I26, UserCodes!E:F, 2, FALSE) * H26, IF(L26="Level 2", VLOOKUP(I26, UserCodes!E:F, 2, FALSE) * H26 * 0.8, 0))</f>
        <v/>
      </c>
      <c r="K26" t="inlineStr">
        <is>
          <t>Ahmed, Jama</t>
        </is>
      </c>
      <c r="L26">
        <f>VLOOKUP(K26, UserCodes!A:B, 2, FALSE)</f>
        <v/>
      </c>
      <c r="M26" t="inlineStr">
        <is>
          <t>No schedule</t>
        </is>
      </c>
    </row>
    <row r="27">
      <c r="A27" t="inlineStr">
        <is>
          <t>Yusuf, Khadija</t>
        </is>
      </c>
      <c r="B27" s="3" t="n">
        <v>46011</v>
      </c>
      <c r="C27" t="inlineStr">
        <is>
          <t>12:30 PM - 05:00 PM</t>
        </is>
      </c>
      <c r="D27" t="inlineStr">
        <is>
          <t>04:30</t>
        </is>
      </c>
      <c r="E27">
        <f>HOUR(D27)+MINUTE(D27)/100</f>
        <v/>
      </c>
      <c r="F27">
        <f>ROUND(INT(E27) + (E27 - INT(E27)) * 100 / 60, 2)</f>
        <v/>
      </c>
      <c r="G27">
        <f>E27*4</f>
        <v/>
      </c>
      <c r="H27">
        <f>LET(total, INT(E27)*60 + (E27-INT(E27))*100, blocks, QUOTIENT(total, 15), extra, MOD(total, 15), units, blocks + IF(extra&gt;=8, 1, 0), units)</f>
        <v/>
      </c>
      <c r="I27" t="inlineStr">
        <is>
          <t>1/1 
97153</t>
        </is>
      </c>
      <c r="J27">
        <f>IF(L27="Level 1", VLOOKUP(I27, UserCodes!E:F, 2, FALSE) * H27, IF(L27="Level 2", VLOOKUP(I27, UserCodes!E:F, 2, FALSE) * H27 * 0.8, 0))</f>
        <v/>
      </c>
      <c r="K27" t="inlineStr">
        <is>
          <t>Muse, Ayni</t>
        </is>
      </c>
      <c r="L27">
        <f>VLOOKUP(K27, UserCodes!A:B, 2, FALSE)</f>
        <v/>
      </c>
    </row>
    <row r="28">
      <c r="A28" t="inlineStr">
        <is>
          <t>Yusuf, Khadija</t>
        </is>
      </c>
      <c r="B28" s="3" t="n">
        <v>46011</v>
      </c>
      <c r="C28" t="inlineStr">
        <is>
          <t>09:00 AM - 12:00 PM</t>
        </is>
      </c>
      <c r="D28" t="inlineStr">
        <is>
          <t>03:00</t>
        </is>
      </c>
      <c r="E28">
        <f>HOUR(D28)+MINUTE(D28)/100</f>
        <v/>
      </c>
      <c r="F28">
        <f>ROUND(INT(E28) + (E28 - INT(E28)) * 100 / 60, 2)</f>
        <v/>
      </c>
      <c r="G28">
        <f>E28*4</f>
        <v/>
      </c>
      <c r="H28">
        <f>LET(total, INT(E28)*60 + (E28-INT(E28))*100, blocks, QUOTIENT(total, 15), extra, MOD(total, 15), units, blocks + IF(extra&gt;=8, 1, 0), units)</f>
        <v/>
      </c>
      <c r="I28" t="inlineStr">
        <is>
          <t>O&amp;D 
97155</t>
        </is>
      </c>
      <c r="J28">
        <f>IF(L28="Level 1", VLOOKUP(I28, UserCodes!E:F, 2, FALSE) * H28, IF(L28="Level 2", VLOOKUP(I28, UserCodes!E:F, 2, FALSE) * H28 * 0.8, 0))</f>
        <v/>
      </c>
      <c r="K28" t="inlineStr">
        <is>
          <t>Muse, Adna</t>
        </is>
      </c>
      <c r="L28">
        <f>VLOOKUP(K28, UserCodes!A:B, 2, FALSE)</f>
        <v/>
      </c>
    </row>
    <row r="29">
      <c r="A29" t="inlineStr">
        <is>
          <t>Yusuf, Khadija</t>
        </is>
      </c>
      <c r="B29" s="3" t="n">
        <v>46013</v>
      </c>
      <c r="C29" t="inlineStr">
        <is>
          <t>01:30 PM - 08:00 PM</t>
        </is>
      </c>
      <c r="D29" t="inlineStr">
        <is>
          <t>06:30</t>
        </is>
      </c>
      <c r="E29">
        <f>HOUR(D29)+MINUTE(D29)/100</f>
        <v/>
      </c>
      <c r="F29">
        <f>ROUND(INT(E29) + (E29 - INT(E29)) * 100 / 60, 2)</f>
        <v/>
      </c>
      <c r="G29">
        <f>E29*4</f>
        <v/>
      </c>
      <c r="H29">
        <f>LET(total, INT(E29)*60 + (E29-INT(E29))*100, blocks, QUOTIENT(total, 15), extra, MOD(total, 15), units, blocks + IF(extra&gt;=8, 1, 0), units)</f>
        <v/>
      </c>
      <c r="I29" t="inlineStr">
        <is>
          <t>1/1 
97153</t>
        </is>
      </c>
      <c r="J29">
        <f>IF(L29="Level 1", VLOOKUP(I29, UserCodes!E:F, 2, FALSE) * H29, IF(L29="Level 2", VLOOKUP(I29, UserCodes!E:F, 2, FALSE) * H29 * 0.8, 0))</f>
        <v/>
      </c>
      <c r="K29" t="inlineStr">
        <is>
          <t>Muse, Ayni</t>
        </is>
      </c>
      <c r="L29">
        <f>VLOOKUP(K29, UserCodes!A:B, 2, FALSE)</f>
        <v/>
      </c>
    </row>
    <row r="30">
      <c r="A30" t="inlineStr">
        <is>
          <t>Yusuf, Khadija</t>
        </is>
      </c>
      <c r="B30" s="3" t="n">
        <v>46014</v>
      </c>
      <c r="C30" t="inlineStr">
        <is>
          <t>10:00 AM - 12:30 PM</t>
        </is>
      </c>
      <c r="D30" t="inlineStr">
        <is>
          <t>02:30</t>
        </is>
      </c>
      <c r="E30">
        <f>HOUR(D30)+MINUTE(D30)/100</f>
        <v/>
      </c>
      <c r="F30">
        <f>ROUND(INT(E30) + (E30 - INT(E30)) * 100 / 60, 2)</f>
        <v/>
      </c>
      <c r="G30">
        <f>E30*4</f>
        <v/>
      </c>
      <c r="H30">
        <f>LET(total, INT(E30)*60 + (E30-INT(E30))*100, blocks, QUOTIENT(total, 15), extra, MOD(total, 15), units, blocks + IF(extra&gt;=8, 1, 0), units)</f>
        <v/>
      </c>
      <c r="I30" t="inlineStr">
        <is>
          <t>1/1 
97153</t>
        </is>
      </c>
      <c r="J30">
        <f>IF(L30="Level 1", VLOOKUP(I30, UserCodes!E:F, 2, FALSE) * H30, IF(L30="Level 2", VLOOKUP(I30, UserCodes!E:F, 2, FALSE) * H30 * 0.8, 0))</f>
        <v/>
      </c>
      <c r="K30" t="inlineStr">
        <is>
          <t>Muse, Adna</t>
        </is>
      </c>
      <c r="L30">
        <f>VLOOKUP(K30, UserCodes!A:B, 2, FALSE)</f>
        <v/>
      </c>
    </row>
    <row r="31">
      <c r="A31" t="inlineStr">
        <is>
          <t>Yusuf, Khadija</t>
        </is>
      </c>
      <c r="B31" s="3" t="n">
        <v>46014</v>
      </c>
      <c r="C31" t="inlineStr">
        <is>
          <t>10:00 AM - 12:30 PM</t>
        </is>
      </c>
      <c r="D31" t="inlineStr">
        <is>
          <t>02:30</t>
        </is>
      </c>
      <c r="E31">
        <f>HOUR(D31)+MINUTE(D31)/100</f>
        <v/>
      </c>
      <c r="F31">
        <f>ROUND(INT(E31) + (E31 - INT(E31)) * 100 / 60, 2)</f>
        <v/>
      </c>
      <c r="G31">
        <f>E31*4</f>
        <v/>
      </c>
      <c r="H31">
        <f>LET(total, INT(E31)*60 + (E31-INT(E31))*100, blocks, QUOTIENT(total, 15), extra, MOD(total, 15), units, blocks + IF(extra&gt;=8, 1, 0), units)</f>
        <v/>
      </c>
      <c r="I31" t="inlineStr">
        <is>
          <t>1/1 
97153</t>
        </is>
      </c>
      <c r="J31">
        <f>IF(L31="Level 1", VLOOKUP(I31, UserCodes!E:F, 2, FALSE) * H31, IF(L31="Level 2", VLOOKUP(I31, UserCodes!E:F, 2, FALSE) * H31 * 0.8, 0))</f>
        <v/>
      </c>
      <c r="K31" t="inlineStr">
        <is>
          <t>Noor, Kamilo</t>
        </is>
      </c>
      <c r="L31">
        <f>VLOOKUP(K31, UserCodes!A:B, 2, FALSE)</f>
        <v/>
      </c>
    </row>
    <row r="32">
      <c r="A32" t="inlineStr">
        <is>
          <t>Yusuf, Khadija</t>
        </is>
      </c>
      <c r="B32" s="3" t="n">
        <v>46014</v>
      </c>
      <c r="C32" t="inlineStr">
        <is>
          <t>01:00 PM - 06:00 PM</t>
        </is>
      </c>
      <c r="D32" t="inlineStr">
        <is>
          <t>05:00</t>
        </is>
      </c>
      <c r="E32">
        <f>HOUR(D32)+MINUTE(D32)/100</f>
        <v/>
      </c>
      <c r="F32">
        <f>ROUND(INT(E32) + (E32 - INT(E32)) * 100 / 60, 2)</f>
        <v/>
      </c>
      <c r="G32">
        <f>E32*4</f>
        <v/>
      </c>
      <c r="H32">
        <f>LET(total, INT(E32)*60 + (E32-INT(E32))*100, blocks, QUOTIENT(total, 15), extra, MOD(total, 15), units, blocks + IF(extra&gt;=8, 1, 0), units)</f>
        <v/>
      </c>
      <c r="I32" t="inlineStr">
        <is>
          <t>1/1 
97153</t>
        </is>
      </c>
      <c r="J32">
        <f>IF(L32="Level 1", VLOOKUP(I32, UserCodes!E:F, 2, FALSE) * H32, IF(L32="Level 2", VLOOKUP(I32, UserCodes!E:F, 2, FALSE) * H32 * 0.8, 0))</f>
        <v/>
      </c>
      <c r="K32" t="inlineStr">
        <is>
          <t>Muse, Adna</t>
        </is>
      </c>
      <c r="L32">
        <f>VLOOKUP(K32, UserCodes!A:B, 2, FALSE)</f>
        <v/>
      </c>
    </row>
    <row r="33">
      <c r="A33" t="inlineStr">
        <is>
          <t>Yusuf, Khadija</t>
        </is>
      </c>
      <c r="B33" s="3" t="n">
        <v>46014</v>
      </c>
      <c r="C33" t="inlineStr">
        <is>
          <t>12:30 PM - 01:00 PM</t>
        </is>
      </c>
      <c r="D33" t="inlineStr">
        <is>
          <t>00:30</t>
        </is>
      </c>
      <c r="E33">
        <f>HOUR(D33)+MINUTE(D33)/100</f>
        <v/>
      </c>
      <c r="F33">
        <f>ROUND(INT(E33) + (E33 - INT(E33)) * 100 / 60, 2)</f>
        <v/>
      </c>
      <c r="G33">
        <f>E33*4</f>
        <v/>
      </c>
      <c r="H33">
        <f>LET(total, INT(E33)*60 + (E33-INT(E33))*100, blocks, QUOTIENT(total, 15), extra, MOD(total, 15), units, blocks + IF(extra&gt;=8, 1, 0), units)</f>
        <v/>
      </c>
      <c r="I33" t="inlineStr">
        <is>
          <t>1/1 
97153</t>
        </is>
      </c>
      <c r="J33">
        <f>IF(L33="Level 1", VLOOKUP(I33, UserCodes!E:F, 2, FALSE) * H33, IF(L33="Level 2", VLOOKUP(I33, UserCodes!E:F, 2, FALSE) * H33 * 0.8, 0))</f>
        <v/>
      </c>
      <c r="K33" t="inlineStr">
        <is>
          <t>Noor, Kamilo</t>
        </is>
      </c>
      <c r="L33">
        <f>VLOOKUP(K33, UserCodes!A:B, 2, FALSE)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Kadir, Hamdi</t>
        </is>
      </c>
      <c r="B2" s="3" t="n">
        <v>46001</v>
      </c>
      <c r="C2" t="inlineStr">
        <is>
          <t>02:00 PM - 05:00 PM</t>
        </is>
      </c>
      <c r="D2" t="inlineStr">
        <is>
          <t>03:00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1/1 
97153</t>
        </is>
      </c>
      <c r="J2">
        <f>IF(L2="Level 1", VLOOKUP(I2, UserCodes!E:F, 2, FALSE) * H2, IF(L2="Level 2", VLOOKUP(I2, UserCodes!E:F, 2, FALSE) * H2 * 0.8, 0))</f>
        <v/>
      </c>
      <c r="K2" t="inlineStr">
        <is>
          <t>Hashi, Ridwan</t>
        </is>
      </c>
      <c r="L2">
        <f>VLOOKUP(K2, UserCodes!A:B, 2, FALSE)</f>
        <v/>
      </c>
    </row>
    <row r="3">
      <c r="A3" t="inlineStr">
        <is>
          <t>Kadir, Hamdi</t>
        </is>
      </c>
      <c r="B3" s="3" t="n">
        <v>46001</v>
      </c>
      <c r="C3" t="inlineStr">
        <is>
          <t>03:30 PM - 05:00 PM</t>
        </is>
      </c>
      <c r="D3" t="inlineStr">
        <is>
          <t>01:30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O&amp;D 
97155</t>
        </is>
      </c>
      <c r="J3">
        <f>IF(L3="Level 1", VLOOKUP(I3, UserCodes!E:F, 2, FALSE) * H3, IF(L3="Level 2", VLOOKUP(I3, UserCodes!E:F, 2, FALSE) * H3 * 0.8, 0))</f>
        <v/>
      </c>
      <c r="K3" t="inlineStr">
        <is>
          <t>Muse, Adna</t>
        </is>
      </c>
      <c r="L3">
        <f>VLOOKUP(K3, UserCodes!A:B, 2, FALSE)</f>
        <v/>
      </c>
    </row>
    <row r="4">
      <c r="A4" t="inlineStr">
        <is>
          <t>Kadir, Hamdi</t>
        </is>
      </c>
      <c r="B4" s="3" t="n">
        <v>46002</v>
      </c>
      <c r="C4" t="inlineStr">
        <is>
          <t>02:00 PM - 08:00 PM</t>
        </is>
      </c>
      <c r="D4" t="inlineStr">
        <is>
          <t>06:00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1/1 
97153</t>
        </is>
      </c>
      <c r="J4">
        <f>IF(L4="Level 1", VLOOKUP(I4, UserCodes!E:F, 2, FALSE) * H4, IF(L4="Level 2", VLOOKUP(I4, UserCodes!E:F, 2, FALSE) * H4 * 0.8, 0))</f>
        <v/>
      </c>
      <c r="K4" t="inlineStr">
        <is>
          <t>Mohamed, Samsam</t>
        </is>
      </c>
      <c r="L4">
        <f>VLOOKUP(K4, UserCodes!A:B, 2, FALSE)</f>
        <v/>
      </c>
    </row>
    <row r="5">
      <c r="A5" t="inlineStr">
        <is>
          <t>Kadir, Hamdi</t>
        </is>
      </c>
      <c r="B5" s="3" t="n">
        <v>46002</v>
      </c>
      <c r="C5" t="inlineStr">
        <is>
          <t>02:00 PM - 05:00 PM</t>
        </is>
      </c>
      <c r="D5" t="inlineStr">
        <is>
          <t>03:00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O&amp;D 
97155</t>
        </is>
      </c>
      <c r="J5">
        <f>IF(L5="Level 1", VLOOKUP(I5, UserCodes!E:F, 2, FALSE) * H5, IF(L5="Level 2", VLOOKUP(I5, UserCodes!E:F, 2, FALSE) * H5 * 0.8, 0))</f>
        <v/>
      </c>
      <c r="K5" t="inlineStr">
        <is>
          <t>Muse, Adna</t>
        </is>
      </c>
      <c r="L5">
        <f>VLOOKUP(K5, UserCodes!A:B, 2, FALSE)</f>
        <v/>
      </c>
    </row>
    <row r="6">
      <c r="A6" t="inlineStr">
        <is>
          <t>Kadir, Hamdi</t>
        </is>
      </c>
      <c r="B6" s="3" t="n">
        <v>46003</v>
      </c>
      <c r="C6" t="inlineStr">
        <is>
          <t>12:55 PM - 03:45 PM</t>
        </is>
      </c>
      <c r="D6" t="inlineStr">
        <is>
          <t>02:50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J6">
        <f>IF(L6="Level 1", VLOOKUP(I6, UserCodes!E:F, 2, FALSE) * H6, IF(L6="Level 2", VLOOKUP(I6, UserCodes!E:F, 2, FALSE) * H6 * 0.8, 0))</f>
        <v/>
      </c>
      <c r="K6" t="inlineStr">
        <is>
          <t>Ahmed, Jama</t>
        </is>
      </c>
      <c r="L6">
        <f>VLOOKUP(K6, UserCodes!A:B, 2, FALSE)</f>
        <v/>
      </c>
      <c r="M6" t="inlineStr">
        <is>
          <t>No schedule</t>
        </is>
      </c>
    </row>
    <row r="7">
      <c r="A7" t="inlineStr">
        <is>
          <t>Kadir, Hamdi</t>
        </is>
      </c>
      <c r="B7" s="3" t="n">
        <v>46003</v>
      </c>
      <c r="C7" t="inlineStr">
        <is>
          <t>12:35 PM - 08:00 PM</t>
        </is>
      </c>
      <c r="D7" t="inlineStr">
        <is>
          <t>07:25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1/1 
97153</t>
        </is>
      </c>
      <c r="J7">
        <f>IF(L7="Level 1", VLOOKUP(I7, UserCodes!E:F, 2, FALSE) * H7, IF(L7="Level 2", VLOOKUP(I7, UserCodes!E:F, 2, FALSE) * H7 * 0.8, 0))</f>
        <v/>
      </c>
      <c r="K7" t="inlineStr">
        <is>
          <t>Mohamed, Samsam</t>
        </is>
      </c>
      <c r="L7">
        <f>VLOOKUP(K7, UserCodes!A:B, 2, FALSE)</f>
        <v/>
      </c>
    </row>
    <row r="8">
      <c r="A8" t="inlineStr">
        <is>
          <t>Kadir, Hamdi</t>
        </is>
      </c>
      <c r="B8" s="3" t="n">
        <v>46003</v>
      </c>
      <c r="C8" t="inlineStr">
        <is>
          <t>12:00 PM - 03:00 PM</t>
        </is>
      </c>
      <c r="D8" t="inlineStr">
        <is>
          <t>03:00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O&amp;D 
97155</t>
        </is>
      </c>
      <c r="J8">
        <f>IF(L8="Level 1", VLOOKUP(I8, UserCodes!E:F, 2, FALSE) * H8, IF(L8="Level 2", VLOOKUP(I8, UserCodes!E:F, 2, FALSE) * H8 * 0.8, 0))</f>
        <v/>
      </c>
      <c r="K8" t="inlineStr">
        <is>
          <t>Muse, Adna</t>
        </is>
      </c>
      <c r="L8">
        <f>VLOOKUP(K8, UserCodes!A:B, 2, FALSE)</f>
        <v/>
      </c>
    </row>
    <row r="9">
      <c r="A9" t="inlineStr">
        <is>
          <t>Kadir, Hamdi</t>
        </is>
      </c>
      <c r="B9" s="3" t="n">
        <v>46004</v>
      </c>
      <c r="C9" t="inlineStr">
        <is>
          <t>11:00 AM - 06:00 PM</t>
        </is>
      </c>
      <c r="D9" t="inlineStr">
        <is>
          <t>07:00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1/1 
97153</t>
        </is>
      </c>
      <c r="J9">
        <f>IF(L9="Level 1", VLOOKUP(I9, UserCodes!E:F, 2, FALSE) * H9, IF(L9="Level 2", VLOOKUP(I9, UserCodes!E:F, 2, FALSE) * H9 * 0.8, 0))</f>
        <v/>
      </c>
      <c r="K9" t="inlineStr">
        <is>
          <t>Mohamed, Samsam</t>
        </is>
      </c>
      <c r="L9">
        <f>VLOOKUP(K9, UserCodes!A:B, 2, FALSE)</f>
        <v/>
      </c>
    </row>
    <row r="10">
      <c r="A10" t="inlineStr">
        <is>
          <t>Kadir, Hamdi</t>
        </is>
      </c>
      <c r="B10" s="3" t="n">
        <v>46004</v>
      </c>
      <c r="C10" t="inlineStr">
        <is>
          <t>10:00 AM - 01:00 PM</t>
        </is>
      </c>
      <c r="D10" t="inlineStr">
        <is>
          <t>03:00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O&amp;D 
97155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Hawadle, Abdiaziz</t>
        </is>
      </c>
      <c r="L10">
        <f>VLOOKUP(K10, UserCodes!A:B, 2, FALSE)</f>
        <v/>
      </c>
    </row>
    <row r="11">
      <c r="A11" t="inlineStr">
        <is>
          <t>Kadir, Hamdi</t>
        </is>
      </c>
      <c r="B11" s="3" t="n">
        <v>46006</v>
      </c>
      <c r="C11" t="inlineStr">
        <is>
          <t>02:00 PM - 08:00 PM</t>
        </is>
      </c>
      <c r="D11" t="inlineStr">
        <is>
          <t>06:00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1/1 
97153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Osman, Basra</t>
        </is>
      </c>
      <c r="L11">
        <f>VLOOKUP(K11, UserCodes!A:B, 2, FALSE)</f>
        <v/>
      </c>
    </row>
    <row r="12">
      <c r="A12" t="inlineStr">
        <is>
          <t>Kadir, Hamdi</t>
        </is>
      </c>
      <c r="B12" s="3" t="n">
        <v>46007</v>
      </c>
      <c r="C12" t="inlineStr">
        <is>
          <t>03:00 PM - 06:00 PM</t>
        </is>
      </c>
      <c r="D12" t="inlineStr">
        <is>
          <t>03:00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O&amp;D 
97155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Muse, Adna</t>
        </is>
      </c>
      <c r="L12">
        <f>VLOOKUP(K12, UserCodes!A:B, 2, FALSE)</f>
        <v/>
      </c>
    </row>
    <row r="13">
      <c r="A13" t="inlineStr">
        <is>
          <t>Kadir, Hamdi</t>
        </is>
      </c>
      <c r="B13" s="3" t="n">
        <v>46007</v>
      </c>
      <c r="C13" t="inlineStr">
        <is>
          <t>02:00 PM - 08:00 PM</t>
        </is>
      </c>
      <c r="D13" t="inlineStr">
        <is>
          <t>06:00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1/1 
97153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Ran, Sameya</t>
        </is>
      </c>
      <c r="L13">
        <f>VLOOKUP(K13, UserCodes!A:B, 2, FALSE)</f>
        <v/>
      </c>
    </row>
    <row r="14">
      <c r="A14" t="inlineStr">
        <is>
          <t>Kadir, Hamdi</t>
        </is>
      </c>
      <c r="B14" s="3" t="n">
        <v>46008</v>
      </c>
      <c r="C14" t="inlineStr">
        <is>
          <t>05:00 PM - 08:00 PM</t>
        </is>
      </c>
      <c r="D14" t="inlineStr">
        <is>
          <t>03:00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1/1 
97153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Muse, Nawaal</t>
        </is>
      </c>
      <c r="L14">
        <f>VLOOKUP(K14, UserCodes!A:B, 2, FALSE)</f>
        <v/>
      </c>
    </row>
    <row r="15">
      <c r="A15" t="inlineStr">
        <is>
          <t>Kadir, Hamdi</t>
        </is>
      </c>
      <c r="B15" s="3" t="n">
        <v>46008</v>
      </c>
      <c r="C15" t="inlineStr">
        <is>
          <t>02:00 PM - 05:00 PM</t>
        </is>
      </c>
      <c r="D15" t="inlineStr">
        <is>
          <t>03:00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O&amp;D 
97155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Osman, Basra</t>
        </is>
      </c>
      <c r="L15">
        <f>VLOOKUP(K15, UserCodes!A:B, 2, FALSE)</f>
        <v/>
      </c>
    </row>
    <row r="16">
      <c r="A16" t="inlineStr">
        <is>
          <t>Kadir, Hamdi</t>
        </is>
      </c>
      <c r="B16" s="3" t="n">
        <v>46008</v>
      </c>
      <c r="C16" t="inlineStr">
        <is>
          <t>02:00 PM - 05:00 PM</t>
        </is>
      </c>
      <c r="D16" t="inlineStr">
        <is>
          <t>03:00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1/1 
97153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Muse, Ayni</t>
        </is>
      </c>
      <c r="L16">
        <f>VLOOKUP(K16, UserCodes!A:B, 2, FALSE)</f>
        <v/>
      </c>
    </row>
    <row r="17">
      <c r="A17" t="inlineStr">
        <is>
          <t>Kadir, Hamdi</t>
        </is>
      </c>
      <c r="B17" s="3" t="n">
        <v>46009</v>
      </c>
      <c r="C17" t="inlineStr">
        <is>
          <t>02:00 PM - 03:00 PM</t>
        </is>
      </c>
      <c r="D17" t="inlineStr">
        <is>
          <t>01:00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O&amp;D 
97155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Osman, Basra</t>
        </is>
      </c>
      <c r="L17">
        <f>VLOOKUP(K17, UserCodes!A:B, 2, FALSE)</f>
        <v/>
      </c>
    </row>
    <row r="18">
      <c r="A18" t="inlineStr">
        <is>
          <t>Kadir, Hamdi</t>
        </is>
      </c>
      <c r="B18" s="3" t="n">
        <v>46009</v>
      </c>
      <c r="C18" t="inlineStr">
        <is>
          <t>02:00 PM - 08:00 PM</t>
        </is>
      </c>
      <c r="D18" t="inlineStr">
        <is>
          <t>06:00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Muse, Nawaal</t>
        </is>
      </c>
      <c r="L18">
        <f>VLOOKUP(K18, UserCodes!A:B, 2, FALSE)</f>
        <v/>
      </c>
    </row>
    <row r="19">
      <c r="A19" t="inlineStr">
        <is>
          <t>Kadir, Hamdi</t>
        </is>
      </c>
      <c r="B19" s="3" t="n">
        <v>46010</v>
      </c>
      <c r="C19" t="inlineStr">
        <is>
          <t>04:00 PM - 08:00 PM</t>
        </is>
      </c>
      <c r="D19" t="inlineStr">
        <is>
          <t>04:00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1/1 
97153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Barqab, Mushtaq</t>
        </is>
      </c>
      <c r="L19">
        <f>VLOOKUP(K19, UserCodes!A:B, 2, FALSE)</f>
        <v/>
      </c>
    </row>
    <row r="20">
      <c r="A20" t="inlineStr">
        <is>
          <t>Kadir, Hamdi</t>
        </is>
      </c>
      <c r="B20" s="3" t="n">
        <v>46010</v>
      </c>
      <c r="C20" t="inlineStr">
        <is>
          <t>12:59 PM - 03:00 PM</t>
        </is>
      </c>
      <c r="D20" t="inlineStr">
        <is>
          <t>02:01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J20">
        <f>IF(L20="Level 1", VLOOKUP(I20, UserCodes!E:F, 2, FALSE) * H20, IF(L20="Level 2", VLOOKUP(I20, UserCodes!E:F, 2, FALSE) * H20 * 0.8, 0))</f>
        <v/>
      </c>
      <c r="K20" t="inlineStr">
        <is>
          <t>Ahmed, Jama</t>
        </is>
      </c>
      <c r="L20">
        <f>VLOOKUP(K20, UserCodes!A:B, 2, FALSE)</f>
        <v/>
      </c>
      <c r="M20" t="inlineStr">
        <is>
          <t>No schedule</t>
        </is>
      </c>
    </row>
    <row r="21">
      <c r="A21" t="inlineStr">
        <is>
          <t>Kadir, Hamdi</t>
        </is>
      </c>
      <c r="B21" s="3" t="n">
        <v>46010</v>
      </c>
      <c r="C21" t="inlineStr">
        <is>
          <t>12:30 PM - 03:30 PM</t>
        </is>
      </c>
      <c r="D21" t="inlineStr">
        <is>
          <t>03:00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I21" t="inlineStr">
        <is>
          <t>O&amp;D 
97155</t>
        </is>
      </c>
      <c r="J21">
        <f>IF(L21="Level 1", VLOOKUP(I21, UserCodes!E:F, 2, FALSE) * H21, IF(L21="Level 2", VLOOKUP(I21, UserCodes!E:F, 2, FALSE) * H21 * 0.8, 0))</f>
        <v/>
      </c>
      <c r="K21" t="inlineStr">
        <is>
          <t>Muse, Aaliya</t>
        </is>
      </c>
      <c r="L21">
        <f>VLOOKUP(K21, UserCodes!A:B, 2, FALSE)</f>
        <v/>
      </c>
    </row>
    <row r="22">
      <c r="A22" t="inlineStr">
        <is>
          <t>Kadir, Hamdi</t>
        </is>
      </c>
      <c r="B22" s="3" t="n">
        <v>46010</v>
      </c>
      <c r="C22" t="inlineStr">
        <is>
          <t>12:00 PM - 03:30 PM</t>
        </is>
      </c>
      <c r="D22" t="inlineStr">
        <is>
          <t>03:30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I22" t="inlineStr">
        <is>
          <t>1/1 
97153</t>
        </is>
      </c>
      <c r="J22">
        <f>IF(L22="Level 1", VLOOKUP(I22, UserCodes!E:F, 2, FALSE) * H22, IF(L22="Level 2", VLOOKUP(I22, UserCodes!E:F, 2, FALSE) * H22 * 0.8, 0))</f>
        <v/>
      </c>
      <c r="K22" t="inlineStr">
        <is>
          <t>Barqab, Mushtaq</t>
        </is>
      </c>
      <c r="L22">
        <f>VLOOKUP(K22, UserCodes!A:B, 2, FALSE)</f>
        <v/>
      </c>
    </row>
    <row r="23">
      <c r="A23" t="inlineStr">
        <is>
          <t>Kadir, Hamdi</t>
        </is>
      </c>
      <c r="B23" s="3" t="n">
        <v>46011</v>
      </c>
      <c r="C23" t="inlineStr">
        <is>
          <t>01:00 PM - 04:00 PM</t>
        </is>
      </c>
      <c r="D23" t="inlineStr">
        <is>
          <t>03:00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I23" t="inlineStr">
        <is>
          <t>O&amp;D 
97155</t>
        </is>
      </c>
      <c r="J23">
        <f>IF(L23="Level 1", VLOOKUP(I23, UserCodes!E:F, 2, FALSE) * H23, IF(L23="Level 2", VLOOKUP(I23, UserCodes!E:F, 2, FALSE) * H23 * 0.8, 0))</f>
        <v/>
      </c>
      <c r="K23" t="inlineStr">
        <is>
          <t>Ibrahim, Ahmed</t>
        </is>
      </c>
      <c r="L23">
        <f>VLOOKUP(K23, UserCodes!A:B, 2, FALSE)</f>
        <v/>
      </c>
    </row>
    <row r="24">
      <c r="A24" t="inlineStr">
        <is>
          <t>Kadir, Hamdi</t>
        </is>
      </c>
      <c r="B24" s="3" t="n">
        <v>46011</v>
      </c>
      <c r="C24" t="inlineStr">
        <is>
          <t>10:00 AM - 12:00 PM</t>
        </is>
      </c>
      <c r="D24" t="inlineStr">
        <is>
          <t>02:00</t>
        </is>
      </c>
      <c r="E24">
        <f>HOUR(D24)+MINUTE(D24)/100</f>
        <v/>
      </c>
      <c r="F24">
        <f>ROUND(INT(E24) + (E24 - INT(E24)) * 100 / 60, 2)</f>
        <v/>
      </c>
      <c r="G24">
        <f>E24*4</f>
        <v/>
      </c>
      <c r="H24">
        <f>LET(total, INT(E24)*60 + (E24-INT(E24))*100, blocks, QUOTIENT(total, 15), extra, MOD(total, 15), units, blocks + IF(extra&gt;=8, 1, 0), units)</f>
        <v/>
      </c>
      <c r="I24" t="inlineStr">
        <is>
          <t>1/1 
97153</t>
        </is>
      </c>
      <c r="J24">
        <f>IF(L24="Level 1", VLOOKUP(I24, UserCodes!E:F, 2, FALSE) * H24, IF(L24="Level 2", VLOOKUP(I24, UserCodes!E:F, 2, FALSE) * H24 * 0.8, 0))</f>
        <v/>
      </c>
      <c r="K24" t="inlineStr">
        <is>
          <t>Hashi, Ridwan</t>
        </is>
      </c>
      <c r="L24">
        <f>VLOOKUP(K24, UserCodes!A:B, 2, FALSE)</f>
        <v/>
      </c>
    </row>
    <row r="25">
      <c r="A25" t="inlineStr">
        <is>
          <t>Kadir, Hamdi</t>
        </is>
      </c>
      <c r="B25" s="3" t="n">
        <v>46011</v>
      </c>
      <c r="C25" t="inlineStr">
        <is>
          <t>12:30 PM - 06:00 PM</t>
        </is>
      </c>
      <c r="D25" t="inlineStr">
        <is>
          <t>05:30</t>
        </is>
      </c>
      <c r="E25">
        <f>HOUR(D25)+MINUTE(D25)/100</f>
        <v/>
      </c>
      <c r="F25">
        <f>ROUND(INT(E25) + (E25 - INT(E25)) * 100 / 60, 2)</f>
        <v/>
      </c>
      <c r="G25">
        <f>E25*4</f>
        <v/>
      </c>
      <c r="H25">
        <f>LET(total, INT(E25)*60 + (E25-INT(E25))*100, blocks, QUOTIENT(total, 15), extra, MOD(total, 15), units, blocks + IF(extra&gt;=8, 1, 0), units)</f>
        <v/>
      </c>
      <c r="I25" t="inlineStr">
        <is>
          <t>1/1 
97153</t>
        </is>
      </c>
      <c r="J25">
        <f>IF(L25="Level 1", VLOOKUP(I25, UserCodes!E:F, 2, FALSE) * H25, IF(L25="Level 2", VLOOKUP(I25, UserCodes!E:F, 2, FALSE) * H25 * 0.8, 0))</f>
        <v/>
      </c>
      <c r="K25" t="inlineStr">
        <is>
          <t>Hashi, Ridwan</t>
        </is>
      </c>
      <c r="L25">
        <f>VLOOKUP(K25, UserCodes!A:B, 2, FALSE)</f>
        <v/>
      </c>
    </row>
    <row r="26">
      <c r="A26" t="inlineStr">
        <is>
          <t>Kadir, Hamdi</t>
        </is>
      </c>
      <c r="B26" s="3" t="n">
        <v>46013</v>
      </c>
      <c r="C26" t="inlineStr">
        <is>
          <t>05:30 PM - 08:00 PM</t>
        </is>
      </c>
      <c r="D26" t="inlineStr">
        <is>
          <t>02:30</t>
        </is>
      </c>
      <c r="E26">
        <f>HOUR(D26)+MINUTE(D26)/100</f>
        <v/>
      </c>
      <c r="F26">
        <f>ROUND(INT(E26) + (E26 - INT(E26)) * 100 / 60, 2)</f>
        <v/>
      </c>
      <c r="G26">
        <f>E26*4</f>
        <v/>
      </c>
      <c r="H26">
        <f>LET(total, INT(E26)*60 + (E26-INT(E26))*100, blocks, QUOTIENT(total, 15), extra, MOD(total, 15), units, blocks + IF(extra&gt;=8, 1, 0), units)</f>
        <v/>
      </c>
      <c r="I26" t="inlineStr">
        <is>
          <t>1/1 
97153</t>
        </is>
      </c>
      <c r="J26">
        <f>IF(L26="Level 1", VLOOKUP(I26, UserCodes!E:F, 2, FALSE) * H26, IF(L26="Level 2", VLOOKUP(I26, UserCodes!E:F, 2, FALSE) * H26 * 0.8, 0))</f>
        <v/>
      </c>
      <c r="K26" t="inlineStr">
        <is>
          <t>Ran, Sameya</t>
        </is>
      </c>
      <c r="L26">
        <f>VLOOKUP(K26, UserCodes!A:B, 2, FALSE)</f>
        <v/>
      </c>
    </row>
    <row r="27">
      <c r="A27" t="inlineStr">
        <is>
          <t>Kadir, Hamdi</t>
        </is>
      </c>
      <c r="B27" s="3" t="n">
        <v>46013</v>
      </c>
      <c r="C27" t="inlineStr">
        <is>
          <t>12:00 PM - 03:00 PM</t>
        </is>
      </c>
      <c r="D27" t="inlineStr">
        <is>
          <t>03:00</t>
        </is>
      </c>
      <c r="E27">
        <f>HOUR(D27)+MINUTE(D27)/100</f>
        <v/>
      </c>
      <c r="F27">
        <f>ROUND(INT(E27) + (E27 - INT(E27)) * 100 / 60, 2)</f>
        <v/>
      </c>
      <c r="G27">
        <f>E27*4</f>
        <v/>
      </c>
      <c r="H27">
        <f>LET(total, INT(E27)*60 + (E27-INT(E27))*100, blocks, QUOTIENT(total, 15), extra, MOD(total, 15), units, blocks + IF(extra&gt;=8, 1, 0), units)</f>
        <v/>
      </c>
      <c r="J27">
        <f>IF(L27="Level 1", VLOOKUP(I27, UserCodes!E:F, 2, FALSE) * H27, IF(L27="Level 2", VLOOKUP(I27, UserCodes!E:F, 2, FALSE) * H27 * 0.8, 0))</f>
        <v/>
      </c>
      <c r="K27" t="inlineStr">
        <is>
          <t>Muse, Aaliya</t>
        </is>
      </c>
      <c r="L27">
        <f>VLOOKUP(K27, UserCodes!A:B, 2, FALSE)</f>
        <v/>
      </c>
      <c r="M27" t="inlineStr">
        <is>
          <t>No schedule</t>
        </is>
      </c>
    </row>
    <row r="28">
      <c r="A28" t="inlineStr">
        <is>
          <t>Kadir, Hamdi</t>
        </is>
      </c>
      <c r="B28" s="3" t="n">
        <v>46013</v>
      </c>
      <c r="C28" t="inlineStr">
        <is>
          <t>12:00 PM - 05:30 PM</t>
        </is>
      </c>
      <c r="D28" t="inlineStr">
        <is>
          <t>05:30</t>
        </is>
      </c>
      <c r="E28">
        <f>HOUR(D28)+MINUTE(D28)/100</f>
        <v/>
      </c>
      <c r="F28">
        <f>ROUND(INT(E28) + (E28 - INT(E28)) * 100 / 60, 2)</f>
        <v/>
      </c>
      <c r="G28">
        <f>E28*4</f>
        <v/>
      </c>
      <c r="H28">
        <f>LET(total, INT(E28)*60 + (E28-INT(E28))*100, blocks, QUOTIENT(total, 15), extra, MOD(total, 15), units, blocks + IF(extra&gt;=8, 1, 0), units)</f>
        <v/>
      </c>
      <c r="I28" t="inlineStr">
        <is>
          <t>1/1 
97153</t>
        </is>
      </c>
      <c r="J28">
        <f>IF(L28="Level 1", VLOOKUP(I28, UserCodes!E:F, 2, FALSE) * H28, IF(L28="Level 2", VLOOKUP(I28, UserCodes!E:F, 2, FALSE) * H28 * 0.8, 0))</f>
        <v/>
      </c>
      <c r="K28" t="inlineStr">
        <is>
          <t>Mohamed, Samsam</t>
        </is>
      </c>
      <c r="L28">
        <f>VLOOKUP(K28, UserCodes!A:B, 2, FALSE)</f>
        <v/>
      </c>
    </row>
    <row r="29">
      <c r="A29" t="inlineStr">
        <is>
          <t>Kadir, Hamdi</t>
        </is>
      </c>
      <c r="B29" s="3" t="n">
        <v>46014</v>
      </c>
      <c r="C29" t="inlineStr">
        <is>
          <t>09:00am - 12:00pm</t>
        </is>
      </c>
      <c r="E29">
        <f>HOUR(D29)+MINUTE(D29)/100</f>
        <v/>
      </c>
      <c r="F29">
        <f>ROUND(INT(E29) + (E29 - INT(E29)) * 100 / 60, 2)</f>
        <v/>
      </c>
      <c r="G29">
        <f>E29*4</f>
        <v/>
      </c>
      <c r="H29">
        <f>LET(total, INT(E29)*60 + (E29-INT(E29))*100, blocks, QUOTIENT(total, 15), extra, MOD(total, 15), units, blocks + IF(extra&gt;=8, 1, 0), units)</f>
        <v/>
      </c>
      <c r="I29" t="inlineStr">
        <is>
          <t>1/1 
97153</t>
        </is>
      </c>
      <c r="J29">
        <f>IF(L29="Level 1", VLOOKUP(I29, UserCodes!E:F, 2, FALSE) * H29, IF(L29="Level 2", VLOOKUP(I29, UserCodes!E:F, 2, FALSE) * H29 * 0.8, 0))</f>
        <v/>
      </c>
      <c r="K29" t="inlineStr">
        <is>
          <t>Muse, Nawaal</t>
        </is>
      </c>
      <c r="L29">
        <f>VLOOKUP(K29, UserCodes!A:B, 2, FALSE)</f>
        <v/>
      </c>
      <c r="M29" t="inlineStr">
        <is>
          <t>No note</t>
        </is>
      </c>
    </row>
    <row r="30">
      <c r="A30" t="inlineStr">
        <is>
          <t>Kadir, Hamdi</t>
        </is>
      </c>
      <c r="B30" s="3" t="n">
        <v>46014</v>
      </c>
      <c r="C30" t="inlineStr">
        <is>
          <t>12:30pm - 05:00pm</t>
        </is>
      </c>
      <c r="E30">
        <f>HOUR(D30)+MINUTE(D30)/100</f>
        <v/>
      </c>
      <c r="F30">
        <f>ROUND(INT(E30) + (E30 - INT(E30)) * 100 / 60, 2)</f>
        <v/>
      </c>
      <c r="G30">
        <f>E30*4</f>
        <v/>
      </c>
      <c r="H30">
        <f>LET(total, INT(E30)*60 + (E30-INT(E30))*100, blocks, QUOTIENT(total, 15), extra, MOD(total, 15), units, blocks + IF(extra&gt;=8, 1, 0), units)</f>
        <v/>
      </c>
      <c r="I30" t="inlineStr">
        <is>
          <t>1/1 
97153</t>
        </is>
      </c>
      <c r="J30">
        <f>IF(L30="Level 1", VLOOKUP(I30, UserCodes!E:F, 2, FALSE) * H30, IF(L30="Level 2", VLOOKUP(I30, UserCodes!E:F, 2, FALSE) * H30 * 0.8, 0))</f>
        <v/>
      </c>
      <c r="K30" t="inlineStr">
        <is>
          <t>Muse, Nawaal</t>
        </is>
      </c>
      <c r="L30">
        <f>VLOOKUP(K30, UserCodes!A:B, 2, FALSE)</f>
        <v/>
      </c>
      <c r="M30" t="inlineStr">
        <is>
          <t>No note</t>
        </is>
      </c>
    </row>
    <row r="31">
      <c r="A31" t="inlineStr">
        <is>
          <t>Kadir, Hamdi</t>
        </is>
      </c>
      <c r="B31" s="3" t="n">
        <v>46014</v>
      </c>
      <c r="C31" t="inlineStr">
        <is>
          <t>12:00 PM - 12:30 PM</t>
        </is>
      </c>
      <c r="D31" t="inlineStr">
        <is>
          <t>00:30</t>
        </is>
      </c>
      <c r="E31">
        <f>HOUR(D31)+MINUTE(D31)/100</f>
        <v/>
      </c>
      <c r="F31">
        <f>ROUND(INT(E31) + (E31 - INT(E31)) * 100 / 60, 2)</f>
        <v/>
      </c>
      <c r="G31">
        <f>E31*4</f>
        <v/>
      </c>
      <c r="H31">
        <f>LET(total, INT(E31)*60 + (E31-INT(E31))*100, blocks, QUOTIENT(total, 15), extra, MOD(total, 15), units, blocks + IF(extra&gt;=8, 1, 0), units)</f>
        <v/>
      </c>
      <c r="I31" t="inlineStr">
        <is>
          <t>1/1 
97153</t>
        </is>
      </c>
      <c r="J31">
        <f>IF(L31="Level 1", VLOOKUP(I31, UserCodes!E:F, 2, FALSE) * H31, IF(L31="Level 2", VLOOKUP(I31, UserCodes!E:F, 2, FALSE) * H31 * 0.8, 0))</f>
        <v/>
      </c>
      <c r="K31" t="inlineStr">
        <is>
          <t>Muse, Aaliya</t>
        </is>
      </c>
      <c r="L31">
        <f>VLOOKUP(K31, UserCodes!A:B, 2, FALSE)</f>
        <v/>
      </c>
    </row>
    <row r="32">
      <c r="A32" t="inlineStr">
        <is>
          <t>Kadir, Hamdi</t>
        </is>
      </c>
      <c r="B32" s="3" t="n">
        <v>46014</v>
      </c>
      <c r="C32" t="inlineStr">
        <is>
          <t>09:00 AM - 12:00 PM</t>
        </is>
      </c>
      <c r="D32" t="inlineStr">
        <is>
          <t>03:00</t>
        </is>
      </c>
      <c r="E32">
        <f>HOUR(D32)+MINUTE(D32)/100</f>
        <v/>
      </c>
      <c r="F32">
        <f>ROUND(INT(E32) + (E32 - INT(E32)) * 100 / 60, 2)</f>
        <v/>
      </c>
      <c r="G32">
        <f>E32*4</f>
        <v/>
      </c>
      <c r="H32">
        <f>LET(total, INT(E32)*60 + (E32-INT(E32))*100, blocks, QUOTIENT(total, 15), extra, MOD(total, 15), units, blocks + IF(extra&gt;=8, 1, 0), units)</f>
        <v/>
      </c>
      <c r="I32" t="inlineStr">
        <is>
          <t>1/1 
97153</t>
        </is>
      </c>
      <c r="J32">
        <f>IF(L32="Level 1", VLOOKUP(I32, UserCodes!E:F, 2, FALSE) * H32, IF(L32="Level 2", VLOOKUP(I32, UserCodes!E:F, 2, FALSE) * H32 * 0.8, 0))</f>
        <v/>
      </c>
      <c r="K32" t="inlineStr">
        <is>
          <t>Muse, Aaliya</t>
        </is>
      </c>
      <c r="L32">
        <f>VLOOKUP(K32, UserCodes!A:B, 2, FALSE)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Mohamed, Sumaya</t>
        </is>
      </c>
      <c r="B2" s="3" t="n">
        <v>46001</v>
      </c>
      <c r="C2" t="inlineStr">
        <is>
          <t>12:30 PM - 03:30 PM</t>
        </is>
      </c>
      <c r="D2" t="inlineStr">
        <is>
          <t>03:00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1/1 
97153</t>
        </is>
      </c>
      <c r="J2">
        <f>IF(L2="Level 1", VLOOKUP(I2, UserCodes!E:F, 2, FALSE) * H2, IF(L2="Level 2", VLOOKUP(I2, UserCodes!E:F, 2, FALSE) * H2 * 0.8, 0))</f>
        <v/>
      </c>
      <c r="K2" t="inlineStr">
        <is>
          <t>Muse, Adna</t>
        </is>
      </c>
      <c r="L2">
        <f>VLOOKUP(K2, UserCodes!A:B, 2, FALSE)</f>
        <v/>
      </c>
    </row>
    <row r="3">
      <c r="A3" t="inlineStr">
        <is>
          <t>Mohamed, Sumaya</t>
        </is>
      </c>
      <c r="B3" s="3" t="n">
        <v>46001</v>
      </c>
      <c r="C3" t="inlineStr">
        <is>
          <t>12:30 PM - 03:30 PM</t>
        </is>
      </c>
      <c r="D3" t="inlineStr">
        <is>
          <t>03:00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O&amp;D 
97155</t>
        </is>
      </c>
      <c r="J3">
        <f>IF(L3="Level 1", VLOOKUP(I3, UserCodes!E:F, 2, FALSE) * H3, IF(L3="Level 2", VLOOKUP(I3, UserCodes!E:F, 2, FALSE) * H3 * 0.8, 0))</f>
        <v/>
      </c>
      <c r="K3" t="inlineStr">
        <is>
          <t>Muse, Aaliya</t>
        </is>
      </c>
      <c r="L3">
        <f>VLOOKUP(K3, UserCodes!A:B, 2, FALSE)</f>
        <v/>
      </c>
    </row>
    <row r="4">
      <c r="A4" t="inlineStr">
        <is>
          <t>Mohamed, Sumaya</t>
        </is>
      </c>
      <c r="B4" s="3" t="n">
        <v>46006</v>
      </c>
      <c r="C4" t="inlineStr">
        <is>
          <t>12:00 PM - 05:00 PM</t>
        </is>
      </c>
      <c r="D4" t="inlineStr">
        <is>
          <t>05:00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1/1 
97153</t>
        </is>
      </c>
      <c r="J4">
        <f>IF(L4="Level 1", VLOOKUP(I4, UserCodes!E:F, 2, FALSE) * H4, IF(L4="Level 2", VLOOKUP(I4, UserCodes!E:F, 2, FALSE) * H4 * 0.8, 0))</f>
        <v/>
      </c>
      <c r="K4" t="inlineStr">
        <is>
          <t>Hashi, Ridwan</t>
        </is>
      </c>
      <c r="L4">
        <f>VLOOKUP(K4, UserCodes!A:B, 2, FALSE)</f>
        <v/>
      </c>
    </row>
    <row r="5">
      <c r="A5" t="inlineStr">
        <is>
          <t>Mohamed, Sumaya</t>
        </is>
      </c>
      <c r="B5" s="3" t="n">
        <v>46006</v>
      </c>
      <c r="C5" t="inlineStr">
        <is>
          <t>01:00 PM - 04:00 PM</t>
        </is>
      </c>
      <c r="D5" t="inlineStr">
        <is>
          <t>03:00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O&amp;D 
97155</t>
        </is>
      </c>
      <c r="J5">
        <f>IF(L5="Level 1", VLOOKUP(I5, UserCodes!E:F, 2, FALSE) * H5, IF(L5="Level 2", VLOOKUP(I5, UserCodes!E:F, 2, FALSE) * H5 * 0.8, 0))</f>
        <v/>
      </c>
      <c r="K5" t="inlineStr">
        <is>
          <t>Muse, Adna</t>
        </is>
      </c>
      <c r="L5">
        <f>VLOOKUP(K5, UserCodes!A:B, 2, FALSE)</f>
        <v/>
      </c>
    </row>
    <row r="6">
      <c r="A6" t="inlineStr">
        <is>
          <t>Mohamed, Sumaya</t>
        </is>
      </c>
      <c r="B6" s="3" t="n">
        <v>46007</v>
      </c>
      <c r="C6" t="inlineStr">
        <is>
          <t>12:00 PM - 07:00 PM</t>
        </is>
      </c>
      <c r="D6" t="inlineStr">
        <is>
          <t>07:00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ALI, AMIRA</t>
        </is>
      </c>
      <c r="L6">
        <f>VLOOKUP(K6, UserCodes!A:B, 2, FALSE)</f>
        <v/>
      </c>
    </row>
    <row r="7">
      <c r="A7" t="inlineStr">
        <is>
          <t>Mohamed, Sumaya</t>
        </is>
      </c>
      <c r="B7" s="3" t="n">
        <v>46007</v>
      </c>
      <c r="C7" t="inlineStr">
        <is>
          <t>12:00 PM - 03:00 PM</t>
        </is>
      </c>
      <c r="D7" t="inlineStr">
        <is>
          <t>03:00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O&amp;D 
97155</t>
        </is>
      </c>
      <c r="J7">
        <f>IF(L7="Level 1", VLOOKUP(I7, UserCodes!E:F, 2, FALSE) * H7, IF(L7="Level 2", VLOOKUP(I7, UserCodes!E:F, 2, FALSE) * H7 * 0.8, 0))</f>
        <v/>
      </c>
      <c r="K7" t="inlineStr">
        <is>
          <t>Muse, Adna</t>
        </is>
      </c>
      <c r="L7">
        <f>VLOOKUP(K7, UserCodes!A:B, 2, FALSE)</f>
        <v/>
      </c>
    </row>
    <row r="8">
      <c r="A8" t="inlineStr">
        <is>
          <t>Mohamed, Sumaya</t>
        </is>
      </c>
      <c r="B8" s="3" t="n">
        <v>46008</v>
      </c>
      <c r="C8" t="inlineStr">
        <is>
          <t>12:20 PM - 03:20 PM</t>
        </is>
      </c>
      <c r="D8" t="inlineStr">
        <is>
          <t>03:00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O&amp;D 
97155</t>
        </is>
      </c>
      <c r="J8">
        <f>IF(L8="Level 1", VLOOKUP(I8, UserCodes!E:F, 2, FALSE) * H8, IF(L8="Level 2", VLOOKUP(I8, UserCodes!E:F, 2, FALSE) * H8 * 0.8, 0))</f>
        <v/>
      </c>
      <c r="K8" t="inlineStr">
        <is>
          <t>Muse, Aaliya</t>
        </is>
      </c>
      <c r="L8">
        <f>VLOOKUP(K8, UserCodes!A:B, 2, FALSE)</f>
        <v/>
      </c>
    </row>
    <row r="9">
      <c r="A9" t="inlineStr">
        <is>
          <t>Mohamed, Sumaya</t>
        </is>
      </c>
      <c r="B9" s="3" t="n">
        <v>46008</v>
      </c>
      <c r="C9" t="inlineStr">
        <is>
          <t>12:20 PM - 05:00 PM</t>
        </is>
      </c>
      <c r="D9" t="inlineStr">
        <is>
          <t>04:40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1/1 
97153</t>
        </is>
      </c>
      <c r="J9">
        <f>IF(L9="Level 1", VLOOKUP(I9, UserCodes!E:F, 2, FALSE) * H9, IF(L9="Level 2", VLOOKUP(I9, UserCodes!E:F, 2, FALSE) * H9 * 0.8, 0))</f>
        <v/>
      </c>
      <c r="K9" t="inlineStr">
        <is>
          <t>Muse, Adna</t>
        </is>
      </c>
      <c r="L9">
        <f>VLOOKUP(K9, UserCodes!A:B, 2, FALSE)</f>
        <v/>
      </c>
    </row>
    <row r="10">
      <c r="A10" t="inlineStr">
        <is>
          <t>Mohamed, Sumaya</t>
        </is>
      </c>
      <c r="B10" s="3" t="n">
        <v>46009</v>
      </c>
      <c r="C10" t="inlineStr">
        <is>
          <t>03:30 PM - 07:00 PM</t>
        </is>
      </c>
      <c r="D10" t="inlineStr">
        <is>
          <t>03:30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1/1 
97153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Hashi, Ridwan</t>
        </is>
      </c>
      <c r="L10">
        <f>VLOOKUP(K10, UserCodes!A:B, 2, FALSE)</f>
        <v/>
      </c>
    </row>
    <row r="11">
      <c r="A11" t="inlineStr">
        <is>
          <t>Mohamed, Sumaya</t>
        </is>
      </c>
      <c r="B11" s="3" t="n">
        <v>46009</v>
      </c>
      <c r="C11" t="inlineStr">
        <is>
          <t>12:30 PM - 02:00 PM</t>
        </is>
      </c>
      <c r="D11" t="inlineStr">
        <is>
          <t>01:30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O&amp;D 
97155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Muse, Adna</t>
        </is>
      </c>
      <c r="L11">
        <f>VLOOKUP(K11, UserCodes!A:B, 2, FALSE)</f>
        <v/>
      </c>
    </row>
    <row r="12">
      <c r="A12" t="inlineStr">
        <is>
          <t>Mohamed, Sumaya</t>
        </is>
      </c>
      <c r="B12" s="3" t="n">
        <v>46009</v>
      </c>
      <c r="C12" t="inlineStr">
        <is>
          <t>12:00 PM - 02:00 PM</t>
        </is>
      </c>
      <c r="D12" t="inlineStr">
        <is>
          <t>02:00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1/1 
97153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Hashi, Ridwan</t>
        </is>
      </c>
      <c r="L12">
        <f>VLOOKUP(K12, UserCodes!A:B, 2, FALSE)</f>
        <v/>
      </c>
    </row>
    <row r="13">
      <c r="A13" t="inlineStr">
        <is>
          <t>Mohamed, Sumaya</t>
        </is>
      </c>
      <c r="B13" s="3" t="n">
        <v>46010</v>
      </c>
      <c r="C13" t="inlineStr">
        <is>
          <t>12:00 PM - 07:00 PM</t>
        </is>
      </c>
      <c r="D13" t="inlineStr">
        <is>
          <t>07:00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1/1 
97153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ALI, AMIRA</t>
        </is>
      </c>
      <c r="L13">
        <f>VLOOKUP(K13, UserCodes!A:B, 2, FALSE)</f>
        <v/>
      </c>
    </row>
    <row r="14">
      <c r="A14" t="inlineStr">
        <is>
          <t>Mohamed, Sumaya</t>
        </is>
      </c>
      <c r="B14" s="3" t="n">
        <v>46010</v>
      </c>
      <c r="C14" t="inlineStr">
        <is>
          <t>01:00 PM - 04:00 PM</t>
        </is>
      </c>
      <c r="D14" t="inlineStr">
        <is>
          <t>03:00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O&amp;D 
97155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Muse, Adna</t>
        </is>
      </c>
      <c r="L14">
        <f>VLOOKUP(K14, UserCodes!A:B, 2, FALSE)</f>
        <v/>
      </c>
    </row>
    <row r="15">
      <c r="A15" t="inlineStr">
        <is>
          <t>Mohamed, Sumaya</t>
        </is>
      </c>
      <c r="B15" s="3" t="n">
        <v>46011</v>
      </c>
      <c r="C15" t="inlineStr">
        <is>
          <t>12:00 PM - 03:00 PM</t>
        </is>
      </c>
      <c r="D15" t="inlineStr">
        <is>
          <t>03:00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O&amp;D 
97155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Muse, Adna</t>
        </is>
      </c>
      <c r="L15">
        <f>VLOOKUP(K15, UserCodes!A:B, 2, FALSE)</f>
        <v/>
      </c>
    </row>
    <row r="16">
      <c r="A16" t="inlineStr">
        <is>
          <t>Mohamed, Sumaya</t>
        </is>
      </c>
      <c r="B16" s="3" t="n">
        <v>46011</v>
      </c>
      <c r="C16" t="inlineStr">
        <is>
          <t>10:30 AM - 05:30 PM</t>
        </is>
      </c>
      <c r="D16" t="inlineStr">
        <is>
          <t>07:00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1/1 
97153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Muse, Nawaal</t>
        </is>
      </c>
      <c r="L16">
        <f>VLOOKUP(K16, UserCodes!A:B, 2, FALSE)</f>
        <v/>
      </c>
    </row>
    <row r="17">
      <c r="A17" t="inlineStr">
        <is>
          <t>Mohamed, Sumaya</t>
        </is>
      </c>
      <c r="B17" s="3" t="n">
        <v>46013</v>
      </c>
      <c r="C17" t="inlineStr">
        <is>
          <t>12:30 PM - 08:00 PM</t>
        </is>
      </c>
      <c r="D17" t="inlineStr">
        <is>
          <t>07:30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1/1 
97153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Muse, Adna</t>
        </is>
      </c>
      <c r="L17">
        <f>VLOOKUP(K17, UserCodes!A:B, 2, FALSE)</f>
        <v/>
      </c>
    </row>
    <row r="18">
      <c r="A18" t="inlineStr">
        <is>
          <t>Mohamed, Sumaya</t>
        </is>
      </c>
      <c r="B18" s="3" t="n">
        <v>46014</v>
      </c>
      <c r="C18" t="inlineStr">
        <is>
          <t>09:05 AM - 05:00 PM</t>
        </is>
      </c>
      <c r="D18" t="inlineStr">
        <is>
          <t>07:55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ALI, AMIRA</t>
        </is>
      </c>
      <c r="L18">
        <f>VLOOKUP(K18, UserCodes!A:B, 2, FALSE)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Yusuf 2, Khadra</t>
        </is>
      </c>
      <c r="B2" s="3" t="n">
        <v>46001</v>
      </c>
      <c r="C2" t="inlineStr">
        <is>
          <t>01:00 PM - 05:30 PM</t>
        </is>
      </c>
      <c r="D2" t="inlineStr">
        <is>
          <t>04:30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1/1 
97153</t>
        </is>
      </c>
      <c r="J2">
        <f>IF(L2="Level 1", VLOOKUP(I2, UserCodes!E:F, 2, FALSE) * H2, IF(L2="Level 2", VLOOKUP(I2, UserCodes!E:F, 2, FALSE) * H2 * 0.8, 0))</f>
        <v/>
      </c>
      <c r="K2" t="inlineStr">
        <is>
          <t>Noor, Kamilo</t>
        </is>
      </c>
      <c r="L2">
        <f>VLOOKUP(K2, UserCodes!A:B, 2, FALSE)</f>
        <v/>
      </c>
    </row>
    <row r="3">
      <c r="A3" t="inlineStr">
        <is>
          <t>Yusuf 2, Khadra</t>
        </is>
      </c>
      <c r="B3" s="3" t="n">
        <v>46002</v>
      </c>
      <c r="C3" t="inlineStr">
        <is>
          <t>01:00 PM - 03:00 PM</t>
        </is>
      </c>
      <c r="D3" t="inlineStr">
        <is>
          <t>02:00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O&amp;D 
97155</t>
        </is>
      </c>
      <c r="J3">
        <f>IF(L3="Level 1", VLOOKUP(I3, UserCodes!E:F, 2, FALSE) * H3, IF(L3="Level 2", VLOOKUP(I3, UserCodes!E:F, 2, FALSE) * H3 * 0.8, 0))</f>
        <v/>
      </c>
      <c r="K3" t="inlineStr">
        <is>
          <t>Muse, Ayni</t>
        </is>
      </c>
      <c r="L3">
        <f>VLOOKUP(K3, UserCodes!A:B, 2, FALSE)</f>
        <v/>
      </c>
    </row>
    <row r="4">
      <c r="A4" t="inlineStr">
        <is>
          <t>Yusuf 2, Khadra</t>
        </is>
      </c>
      <c r="B4" s="3" t="n">
        <v>46002</v>
      </c>
      <c r="C4" t="inlineStr">
        <is>
          <t>01:00 PM - 06:00 PM</t>
        </is>
      </c>
      <c r="D4" t="inlineStr">
        <is>
          <t>05:00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1/1 
97153</t>
        </is>
      </c>
      <c r="J4">
        <f>IF(L4="Level 1", VLOOKUP(I4, UserCodes!E:F, 2, FALSE) * H4, IF(L4="Level 2", VLOOKUP(I4, UserCodes!E:F, 2, FALSE) * H4 * 0.8, 0))</f>
        <v/>
      </c>
      <c r="K4" t="inlineStr">
        <is>
          <t>Hashi, Ridwan</t>
        </is>
      </c>
      <c r="L4">
        <f>VLOOKUP(K4, UserCodes!A:B, 2, FALSE)</f>
        <v/>
      </c>
    </row>
    <row r="5">
      <c r="A5" t="inlineStr">
        <is>
          <t>Yusuf 2, Khadra</t>
        </is>
      </c>
      <c r="B5" s="3" t="n">
        <v>46003</v>
      </c>
      <c r="C5" t="inlineStr">
        <is>
          <t>01:00 PM - 06:00 PM</t>
        </is>
      </c>
      <c r="D5" t="inlineStr">
        <is>
          <t>05:00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1/1 
97153</t>
        </is>
      </c>
      <c r="J5">
        <f>IF(L5="Level 1", VLOOKUP(I5, UserCodes!E:F, 2, FALSE) * H5, IF(L5="Level 2", VLOOKUP(I5, UserCodes!E:F, 2, FALSE) * H5 * 0.8, 0))</f>
        <v/>
      </c>
      <c r="K5" t="inlineStr">
        <is>
          <t>Ali, Naima</t>
        </is>
      </c>
      <c r="L5">
        <f>VLOOKUP(K5, UserCodes!A:B, 2, FALSE)</f>
        <v/>
      </c>
    </row>
    <row r="6">
      <c r="A6" t="inlineStr">
        <is>
          <t>Yusuf 2, Khadra</t>
        </is>
      </c>
      <c r="B6" s="3" t="n">
        <v>46004</v>
      </c>
      <c r="C6" t="inlineStr">
        <is>
          <t>09:00 AM - 12:00 PM</t>
        </is>
      </c>
      <c r="D6" t="inlineStr">
        <is>
          <t>03:00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Muse, Ayni</t>
        </is>
      </c>
      <c r="L6">
        <f>VLOOKUP(K6, UserCodes!A:B, 2, FALSE)</f>
        <v/>
      </c>
    </row>
    <row r="7">
      <c r="A7" t="inlineStr">
        <is>
          <t>Yusuf 2, Khadra</t>
        </is>
      </c>
      <c r="B7" s="3" t="n">
        <v>46004</v>
      </c>
      <c r="C7" t="inlineStr">
        <is>
          <t>09:15 AM - 05:00 PM</t>
        </is>
      </c>
      <c r="D7" t="inlineStr">
        <is>
          <t>07:45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1/1 
97153</t>
        </is>
      </c>
      <c r="J7">
        <f>IF(L7="Level 1", VLOOKUP(I7, UserCodes!E:F, 2, FALSE) * H7, IF(L7="Level 2", VLOOKUP(I7, UserCodes!E:F, 2, FALSE) * H7 * 0.8, 0))</f>
        <v/>
      </c>
      <c r="K7" t="inlineStr">
        <is>
          <t>Ran, Sameya</t>
        </is>
      </c>
      <c r="L7">
        <f>VLOOKUP(K7, UserCodes!A:B, 2, FALSE)</f>
        <v/>
      </c>
    </row>
    <row r="8">
      <c r="A8" t="inlineStr">
        <is>
          <t>Yusuf 2, Khadra</t>
        </is>
      </c>
      <c r="B8" s="3" t="n">
        <v>46006</v>
      </c>
      <c r="C8" t="inlineStr">
        <is>
          <t>01:00 PM - 06:15 PM</t>
        </is>
      </c>
      <c r="D8" t="inlineStr">
        <is>
          <t>05:15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1/1 
97153</t>
        </is>
      </c>
      <c r="J8">
        <f>IF(L8="Level 1", VLOOKUP(I8, UserCodes!E:F, 2, FALSE) * H8, IF(L8="Level 2", VLOOKUP(I8, UserCodes!E:F, 2, FALSE) * H8 * 0.8, 0))</f>
        <v/>
      </c>
      <c r="K8" t="inlineStr">
        <is>
          <t>Noor, Kamilo</t>
        </is>
      </c>
      <c r="L8">
        <f>VLOOKUP(K8, UserCodes!A:B, 2, FALSE)</f>
        <v/>
      </c>
    </row>
    <row r="9">
      <c r="A9" t="inlineStr">
        <is>
          <t>Yusuf 2, Khadra</t>
        </is>
      </c>
      <c r="B9" s="3" t="n">
        <v>46006</v>
      </c>
      <c r="C9" t="inlineStr">
        <is>
          <t>12:55 PM - 03:30 PM</t>
        </is>
      </c>
      <c r="D9" t="inlineStr">
        <is>
          <t>02:35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J9">
        <f>IF(L9="Level 1", VLOOKUP(I9, UserCodes!E:F, 2, FALSE) * H9, IF(L9="Level 2", VLOOKUP(I9, UserCodes!E:F, 2, FALSE) * H9 * 0.8, 0))</f>
        <v/>
      </c>
      <c r="K9" t="inlineStr">
        <is>
          <t>Ahmed, Jama</t>
        </is>
      </c>
      <c r="L9">
        <f>VLOOKUP(K9, UserCodes!A:B, 2, FALSE)</f>
        <v/>
      </c>
      <c r="M9" t="inlineStr">
        <is>
          <t>No schedule</t>
        </is>
      </c>
    </row>
    <row r="10">
      <c r="A10" t="inlineStr">
        <is>
          <t>Yusuf 2, Khadra</t>
        </is>
      </c>
      <c r="B10" s="3" t="n">
        <v>46007</v>
      </c>
      <c r="C10" t="inlineStr">
        <is>
          <t>01:00 PM - 06:00 PM</t>
        </is>
      </c>
      <c r="D10" t="inlineStr">
        <is>
          <t>05:00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1/1 
97153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Ali, Naima</t>
        </is>
      </c>
      <c r="L10">
        <f>VLOOKUP(K10, UserCodes!A:B, 2, FALSE)</f>
        <v/>
      </c>
    </row>
    <row r="11">
      <c r="A11" t="inlineStr">
        <is>
          <t>Yusuf 2, Khadra</t>
        </is>
      </c>
      <c r="B11" s="3" t="n">
        <v>46007</v>
      </c>
      <c r="C11" t="inlineStr">
        <is>
          <t>10:00 AM - 12:30 PM</t>
        </is>
      </c>
      <c r="D11" t="inlineStr">
        <is>
          <t>02:30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J11">
        <f>IF(L11="Level 1", VLOOKUP(I11, UserCodes!E:F, 2, FALSE) * H11, IF(L11="Level 2", VLOOKUP(I11, UserCodes!E:F, 2, FALSE) * H11 * 0.8, 0))</f>
        <v/>
      </c>
      <c r="K11" t="inlineStr">
        <is>
          <t>Ahmed, Jama</t>
        </is>
      </c>
      <c r="L11">
        <f>VLOOKUP(K11, UserCodes!A:B, 2, FALSE)</f>
        <v/>
      </c>
      <c r="M11" t="inlineStr">
        <is>
          <t>No schedule</t>
        </is>
      </c>
    </row>
    <row r="12">
      <c r="A12" t="inlineStr">
        <is>
          <t>Yusuf 2, Khadra</t>
        </is>
      </c>
      <c r="B12" s="3" t="n">
        <v>46007</v>
      </c>
      <c r="C12" t="inlineStr">
        <is>
          <t>01:00 PM - 03:30 PM</t>
        </is>
      </c>
      <c r="D12" t="inlineStr">
        <is>
          <t>02:30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O&amp;D 
97155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Muse, Aaliya</t>
        </is>
      </c>
      <c r="L12">
        <f>VLOOKUP(K12, UserCodes!A:B, 2, FALSE)</f>
        <v/>
      </c>
    </row>
    <row r="13">
      <c r="A13" t="inlineStr">
        <is>
          <t>Yusuf 2, Khadra</t>
        </is>
      </c>
      <c r="B13" s="3" t="n">
        <v>46008</v>
      </c>
      <c r="C13" t="inlineStr">
        <is>
          <t>01:00 PM - 02:00 PM</t>
        </is>
      </c>
      <c r="D13" t="inlineStr">
        <is>
          <t>01:00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O&amp;D 
97155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Muse, Ayni</t>
        </is>
      </c>
      <c r="L13">
        <f>VLOOKUP(K13, UserCodes!A:B, 2, FALSE)</f>
        <v/>
      </c>
    </row>
    <row r="14">
      <c r="A14" t="inlineStr">
        <is>
          <t>Yusuf 2, Khadra</t>
        </is>
      </c>
      <c r="B14" s="3" t="n">
        <v>46008</v>
      </c>
      <c r="C14" t="inlineStr">
        <is>
          <t>01:00 PM - 06:00 PM</t>
        </is>
      </c>
      <c r="D14" t="inlineStr">
        <is>
          <t>05:00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1/1 
97153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Hashi, Ridwan</t>
        </is>
      </c>
      <c r="L14">
        <f>VLOOKUP(K14, UserCodes!A:B, 2, FALSE)</f>
        <v/>
      </c>
    </row>
    <row r="15">
      <c r="A15" t="inlineStr">
        <is>
          <t>Yusuf 2, Khadra</t>
        </is>
      </c>
      <c r="B15" s="3" t="n">
        <v>46009</v>
      </c>
      <c r="C15" t="inlineStr">
        <is>
          <t>01:00 PM - 04:00 PM</t>
        </is>
      </c>
      <c r="D15" t="inlineStr">
        <is>
          <t>03:00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O&amp;D 
97155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Muse, Ayni</t>
        </is>
      </c>
      <c r="L15">
        <f>VLOOKUP(K15, UserCodes!A:B, 2, FALSE)</f>
        <v/>
      </c>
    </row>
    <row r="16">
      <c r="A16" t="inlineStr">
        <is>
          <t>Yusuf 2, Khadra</t>
        </is>
      </c>
      <c r="B16" s="3" t="n">
        <v>46009</v>
      </c>
      <c r="C16" t="inlineStr">
        <is>
          <t>09:35 AM - 11:40 AM</t>
        </is>
      </c>
      <c r="D16" t="inlineStr">
        <is>
          <t>02:05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J16">
        <f>IF(L16="Level 1", VLOOKUP(I16, UserCodes!E:F, 2, FALSE) * H16, IF(L16="Level 2", VLOOKUP(I16, UserCodes!E:F, 2, FALSE) * H16 * 0.8, 0))</f>
        <v/>
      </c>
      <c r="K16" t="inlineStr">
        <is>
          <t>Ahmed, Jama</t>
        </is>
      </c>
      <c r="L16">
        <f>VLOOKUP(K16, UserCodes!A:B, 2, FALSE)</f>
        <v/>
      </c>
      <c r="M16" t="inlineStr">
        <is>
          <t>No schedule</t>
        </is>
      </c>
    </row>
    <row r="17">
      <c r="A17" t="inlineStr">
        <is>
          <t>Yusuf 2, Khadra</t>
        </is>
      </c>
      <c r="B17" s="3" t="n">
        <v>46009</v>
      </c>
      <c r="C17" t="inlineStr">
        <is>
          <t>01:00 PM - 06:00 PM</t>
        </is>
      </c>
      <c r="D17" t="inlineStr">
        <is>
          <t>05:00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1/1 
97153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Ali, Naima</t>
        </is>
      </c>
      <c r="L17">
        <f>VLOOKUP(K17, UserCodes!A:B, 2, FALSE)</f>
        <v/>
      </c>
    </row>
    <row r="18">
      <c r="A18" t="inlineStr">
        <is>
          <t>Yusuf 2, Khadra</t>
        </is>
      </c>
      <c r="B18" s="3" t="n">
        <v>46011</v>
      </c>
      <c r="C18" t="inlineStr">
        <is>
          <t>09:00 AM - 11:15 AM</t>
        </is>
      </c>
      <c r="D18" t="inlineStr">
        <is>
          <t>02:15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Osman, Basra</t>
        </is>
      </c>
      <c r="L18">
        <f>VLOOKUP(K18, UserCodes!A:B, 2, FALSE)</f>
        <v/>
      </c>
    </row>
    <row r="19">
      <c r="A19" t="inlineStr">
        <is>
          <t>Yusuf 2, Khadra</t>
        </is>
      </c>
      <c r="B19" s="3" t="n">
        <v>46011</v>
      </c>
      <c r="C19" t="inlineStr">
        <is>
          <t>11:15 AM - 05:12 PM</t>
        </is>
      </c>
      <c r="D19" t="inlineStr">
        <is>
          <t>05:57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1/1 
97153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Barqab, Mushtaq</t>
        </is>
      </c>
      <c r="L19">
        <f>VLOOKUP(K19, UserCodes!A:B, 2, FALSE)</f>
        <v/>
      </c>
    </row>
    <row r="20">
      <c r="A20" t="inlineStr">
        <is>
          <t>Yusuf 2, Khadra</t>
        </is>
      </c>
      <c r="B20" s="3" t="n">
        <v>46011</v>
      </c>
      <c r="C20" t="inlineStr">
        <is>
          <t>11:30 AM - 01:00 PM</t>
        </is>
      </c>
      <c r="D20" t="inlineStr">
        <is>
          <t>01:30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I20" t="inlineStr">
        <is>
          <t>O&amp;D 
97155</t>
        </is>
      </c>
      <c r="J20">
        <f>IF(L20="Level 1", VLOOKUP(I20, UserCodes!E:F, 2, FALSE) * H20, IF(L20="Level 2", VLOOKUP(I20, UserCodes!E:F, 2, FALSE) * H20 * 0.8, 0))</f>
        <v/>
      </c>
      <c r="K20" t="inlineStr">
        <is>
          <t>Ibrahim, Ahmed</t>
        </is>
      </c>
      <c r="L20">
        <f>VLOOKUP(K20, UserCodes!A:B, 2, FALSE)</f>
        <v/>
      </c>
    </row>
    <row r="21">
      <c r="A21" t="inlineStr">
        <is>
          <t>Yusuf 2, Khadra</t>
        </is>
      </c>
      <c r="B21" s="3" t="n">
        <v>46012</v>
      </c>
      <c r="C21" t="inlineStr">
        <is>
          <t>10:00 AM - 12:30 PM</t>
        </is>
      </c>
      <c r="D21" t="inlineStr">
        <is>
          <t>02:30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J21">
        <f>IF(L21="Level 1", VLOOKUP(I21, UserCodes!E:F, 2, FALSE) * H21, IF(L21="Level 2", VLOOKUP(I21, UserCodes!E:F, 2, FALSE) * H21 * 0.8, 0))</f>
        <v/>
      </c>
      <c r="K21" t="inlineStr">
        <is>
          <t>Ahmed, Jama</t>
        </is>
      </c>
      <c r="L21">
        <f>VLOOKUP(K21, UserCodes!A:B, 2, FALSE)</f>
        <v/>
      </c>
      <c r="M21" t="inlineStr">
        <is>
          <t>No schedule</t>
        </is>
      </c>
    </row>
    <row r="22">
      <c r="A22" t="inlineStr">
        <is>
          <t>Yusuf 2, Khadra</t>
        </is>
      </c>
      <c r="B22" s="3" t="n">
        <v>46013</v>
      </c>
      <c r="C22" t="inlineStr">
        <is>
          <t>10:00 AM - 12:30 PM</t>
        </is>
      </c>
      <c r="D22" t="inlineStr">
        <is>
          <t>02:30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I22" t="inlineStr">
        <is>
          <t>1/1 
97153</t>
        </is>
      </c>
      <c r="J22">
        <f>IF(L22="Level 1", VLOOKUP(I22, UserCodes!E:F, 2, FALSE) * H22, IF(L22="Level 2", VLOOKUP(I22, UserCodes!E:F, 2, FALSE) * H22 * 0.8, 0))</f>
        <v/>
      </c>
      <c r="K22" t="inlineStr">
        <is>
          <t>Hashi, Ridwan</t>
        </is>
      </c>
      <c r="L22">
        <f>VLOOKUP(K22, UserCodes!A:B, 2, FALSE)</f>
        <v/>
      </c>
    </row>
    <row r="23">
      <c r="A23" t="inlineStr">
        <is>
          <t>Yusuf 2, Khadra</t>
        </is>
      </c>
      <c r="B23" s="3" t="n">
        <v>46013</v>
      </c>
      <c r="C23" t="inlineStr">
        <is>
          <t>10:00 AM - 12:30 PM</t>
        </is>
      </c>
      <c r="D23" t="inlineStr">
        <is>
          <t>02:30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I23" t="inlineStr">
        <is>
          <t>O&amp;D 
97155</t>
        </is>
      </c>
      <c r="J23">
        <f>IF(L23="Level 1", VLOOKUP(I23, UserCodes!E:F, 2, FALSE) * H23, IF(L23="Level 2", VLOOKUP(I23, UserCodes!E:F, 2, FALSE) * H23 * 0.8, 0))</f>
        <v/>
      </c>
      <c r="K23" t="inlineStr">
        <is>
          <t>Muse, Adna</t>
        </is>
      </c>
      <c r="L23">
        <f>VLOOKUP(K23, UserCodes!A:B, 2, FALSE)</f>
        <v/>
      </c>
    </row>
    <row r="24">
      <c r="A24" t="inlineStr">
        <is>
          <t>Yusuf 2, Khadra</t>
        </is>
      </c>
      <c r="B24" s="3" t="n">
        <v>46013</v>
      </c>
      <c r="C24" t="inlineStr">
        <is>
          <t>01:00 PM - 06:00 PM</t>
        </is>
      </c>
      <c r="D24" t="inlineStr">
        <is>
          <t>05:00</t>
        </is>
      </c>
      <c r="E24">
        <f>HOUR(D24)+MINUTE(D24)/100</f>
        <v/>
      </c>
      <c r="F24">
        <f>ROUND(INT(E24) + (E24 - INT(E24)) * 100 / 60, 2)</f>
        <v/>
      </c>
      <c r="G24">
        <f>E24*4</f>
        <v/>
      </c>
      <c r="H24">
        <f>LET(total, INT(E24)*60 + (E24-INT(E24))*100, blocks, QUOTIENT(total, 15), extra, MOD(total, 15), units, blocks + IF(extra&gt;=8, 1, 0), units)</f>
        <v/>
      </c>
      <c r="I24" t="inlineStr">
        <is>
          <t>1/1 
97153</t>
        </is>
      </c>
      <c r="J24">
        <f>IF(L24="Level 1", VLOOKUP(I24, UserCodes!E:F, 2, FALSE) * H24, IF(L24="Level 2", VLOOKUP(I24, UserCodes!E:F, 2, FALSE) * H24 * 0.8, 0))</f>
        <v/>
      </c>
      <c r="K24" t="inlineStr">
        <is>
          <t>Hashi, Ridwan</t>
        </is>
      </c>
      <c r="L24">
        <f>VLOOKUP(K24, UserCodes!A:B, 2, FALSE)</f>
        <v/>
      </c>
    </row>
    <row r="25">
      <c r="A25" t="inlineStr">
        <is>
          <t>Yusuf 2, Khadra</t>
        </is>
      </c>
      <c r="B25" s="3" t="n">
        <v>46014</v>
      </c>
      <c r="C25" t="inlineStr">
        <is>
          <t>12:00pm - 12:30pm</t>
        </is>
      </c>
      <c r="E25">
        <f>HOUR(D25)+MINUTE(D25)/100</f>
        <v/>
      </c>
      <c r="F25">
        <f>ROUND(INT(E25) + (E25 - INT(E25)) * 100 / 60, 2)</f>
        <v/>
      </c>
      <c r="G25">
        <f>E25*4</f>
        <v/>
      </c>
      <c r="H25">
        <f>LET(total, INT(E25)*60 + (E25-INT(E25))*100, blocks, QUOTIENT(total, 15), extra, MOD(total, 15), units, blocks + IF(extra&gt;=8, 1, 0), units)</f>
        <v/>
      </c>
      <c r="I25" t="inlineStr">
        <is>
          <t>1/1 
97153</t>
        </is>
      </c>
      <c r="J25">
        <f>IF(L25="Level 1", VLOOKUP(I25, UserCodes!E:F, 2, FALSE) * H25, IF(L25="Level 2", VLOOKUP(I25, UserCodes!E:F, 2, FALSE) * H25 * 0.8, 0))</f>
        <v/>
      </c>
      <c r="K25" t="inlineStr">
        <is>
          <t>Ibrahim, Ahmed</t>
        </is>
      </c>
      <c r="L25">
        <f>VLOOKUP(K25, UserCodes!A:B, 2, FALSE)</f>
        <v/>
      </c>
      <c r="M25" t="inlineStr">
        <is>
          <t>No note</t>
        </is>
      </c>
    </row>
    <row r="26">
      <c r="A26" t="inlineStr">
        <is>
          <t>Yusuf 2, Khadra</t>
        </is>
      </c>
      <c r="B26" s="3" t="n">
        <v>46014</v>
      </c>
      <c r="C26" t="inlineStr">
        <is>
          <t>01:15 PM - 03:40 PM</t>
        </is>
      </c>
      <c r="D26" t="inlineStr">
        <is>
          <t>02:25</t>
        </is>
      </c>
      <c r="E26">
        <f>HOUR(D26)+MINUTE(D26)/100</f>
        <v/>
      </c>
      <c r="F26">
        <f>ROUND(INT(E26) + (E26 - INT(E26)) * 100 / 60, 2)</f>
        <v/>
      </c>
      <c r="G26">
        <f>E26*4</f>
        <v/>
      </c>
      <c r="H26">
        <f>LET(total, INT(E26)*60 + (E26-INT(E26))*100, blocks, QUOTIENT(total, 15), extra, MOD(total, 15), units, blocks + IF(extra&gt;=8, 1, 0), units)</f>
        <v/>
      </c>
      <c r="J26">
        <f>IF(L26="Level 1", VLOOKUP(I26, UserCodes!E:F, 2, FALSE) * H26, IF(L26="Level 2", VLOOKUP(I26, UserCodes!E:F, 2, FALSE) * H26 * 0.8, 0))</f>
        <v/>
      </c>
      <c r="K26" t="inlineStr">
        <is>
          <t>Ahmed, Jama</t>
        </is>
      </c>
      <c r="L26">
        <f>VLOOKUP(K26, UserCodes!A:B, 2, FALSE)</f>
        <v/>
      </c>
      <c r="M26" t="inlineStr">
        <is>
          <t>No schedule</t>
        </is>
      </c>
    </row>
    <row r="27">
      <c r="A27" t="inlineStr">
        <is>
          <t>Yusuf 2, Khadra</t>
        </is>
      </c>
      <c r="B27" s="3" t="n">
        <v>46014</v>
      </c>
      <c r="C27" t="inlineStr">
        <is>
          <t>12:30 PM - 06:00 PM</t>
        </is>
      </c>
      <c r="D27" t="inlineStr">
        <is>
          <t>05:30</t>
        </is>
      </c>
      <c r="E27">
        <f>HOUR(D27)+MINUTE(D27)/100</f>
        <v/>
      </c>
      <c r="F27">
        <f>ROUND(INT(E27) + (E27 - INT(E27)) * 100 / 60, 2)</f>
        <v/>
      </c>
      <c r="G27">
        <f>E27*4</f>
        <v/>
      </c>
      <c r="H27">
        <f>LET(total, INT(E27)*60 + (E27-INT(E27))*100, blocks, QUOTIENT(total, 15), extra, MOD(total, 15), units, blocks + IF(extra&gt;=8, 1, 0), units)</f>
        <v/>
      </c>
      <c r="I27" t="inlineStr">
        <is>
          <t>1/1 
97153</t>
        </is>
      </c>
      <c r="J27">
        <f>IF(L27="Level 1", VLOOKUP(I27, UserCodes!E:F, 2, FALSE) * H27, IF(L27="Level 2", VLOOKUP(I27, UserCodes!E:F, 2, FALSE) * H27 * 0.8, 0))</f>
        <v/>
      </c>
      <c r="K27" t="inlineStr">
        <is>
          <t>Muse, Ayni</t>
        </is>
      </c>
      <c r="L27">
        <f>VLOOKUP(K27, UserCodes!A:B, 2, FALSE)</f>
        <v/>
      </c>
    </row>
    <row r="28">
      <c r="A28" t="inlineStr">
        <is>
          <t>Yusuf 2, Khadra</t>
        </is>
      </c>
      <c r="B28" s="3" t="n">
        <v>46014</v>
      </c>
      <c r="C28" t="inlineStr">
        <is>
          <t>10:00 AM - 12:00 PM</t>
        </is>
      </c>
      <c r="D28" t="inlineStr">
        <is>
          <t>02:00</t>
        </is>
      </c>
      <c r="E28">
        <f>HOUR(D28)+MINUTE(D28)/100</f>
        <v/>
      </c>
      <c r="F28">
        <f>ROUND(INT(E28) + (E28 - INT(E28)) * 100 / 60, 2)</f>
        <v/>
      </c>
      <c r="G28">
        <f>E28*4</f>
        <v/>
      </c>
      <c r="H28">
        <f>LET(total, INT(E28)*60 + (E28-INT(E28))*100, blocks, QUOTIENT(total, 15), extra, MOD(total, 15), units, blocks + IF(extra&gt;=8, 1, 0), units)</f>
        <v/>
      </c>
      <c r="I28" t="inlineStr">
        <is>
          <t>1/1 
97153</t>
        </is>
      </c>
      <c r="J28">
        <f>IF(L28="Level 1", VLOOKUP(I28, UserCodes!E:F, 2, FALSE) * H28, IF(L28="Level 2", VLOOKUP(I28, UserCodes!E:F, 2, FALSE) * H28 * 0.8, 0))</f>
        <v/>
      </c>
      <c r="K28" t="inlineStr">
        <is>
          <t>Muse, Ayni</t>
        </is>
      </c>
      <c r="L28">
        <f>VLOOKUP(K28, UserCodes!A:B, 2, FALSE)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Abdi, Samira</t>
        </is>
      </c>
      <c r="B2" s="3" t="n">
        <v>46001</v>
      </c>
      <c r="C2" t="inlineStr">
        <is>
          <t>10:00 AM - 12:30 PM</t>
        </is>
      </c>
      <c r="D2" t="inlineStr">
        <is>
          <t>02:30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J2">
        <f>IF(L2="Level 1", VLOOKUP(I2, UserCodes!E:F, 2, FALSE) * H2, IF(L2="Level 2", VLOOKUP(I2, UserCodes!E:F, 2, FALSE) * H2 * 0.8, 0))</f>
        <v/>
      </c>
      <c r="K2" t="inlineStr">
        <is>
          <t>Ahmed, Jama</t>
        </is>
      </c>
      <c r="L2">
        <f>VLOOKUP(K2, UserCodes!A:B, 2, FALSE)</f>
        <v/>
      </c>
      <c r="M2" t="inlineStr">
        <is>
          <t>No schedule</t>
        </is>
      </c>
    </row>
    <row r="3">
      <c r="A3" t="inlineStr">
        <is>
          <t>Abdi, Samira</t>
        </is>
      </c>
      <c r="B3" s="3" t="n">
        <v>46002</v>
      </c>
      <c r="C3" t="inlineStr">
        <is>
          <t>06:30 PM - 08:00 PM</t>
        </is>
      </c>
      <c r="D3" t="inlineStr">
        <is>
          <t>01:30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O&amp;D 
97155</t>
        </is>
      </c>
      <c r="J3">
        <f>IF(L3="Level 1", VLOOKUP(I3, UserCodes!E:F, 2, FALSE) * H3, IF(L3="Level 2", VLOOKUP(I3, UserCodes!E:F, 2, FALSE) * H3 * 0.8, 0))</f>
        <v/>
      </c>
      <c r="K3" t="inlineStr">
        <is>
          <t>Ali, Nasteho</t>
        </is>
      </c>
      <c r="L3">
        <f>VLOOKUP(K3, UserCodes!A:B, 2, FALSE)</f>
        <v/>
      </c>
    </row>
    <row r="4">
      <c r="A4" t="inlineStr">
        <is>
          <t>Abdi, Samira</t>
        </is>
      </c>
      <c r="B4" s="3" t="n">
        <v>46002</v>
      </c>
      <c r="C4" t="inlineStr">
        <is>
          <t>05:00 PM - 06:00 PM</t>
        </is>
      </c>
      <c r="D4" t="inlineStr">
        <is>
          <t>01:00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J4">
        <f>IF(L4="Level 1", VLOOKUP(I4, UserCodes!E:F, 2, FALSE) * H4, IF(L4="Level 2", VLOOKUP(I4, UserCodes!E:F, 2, FALSE) * H4 * 0.8, 0))</f>
        <v/>
      </c>
      <c r="K4" t="inlineStr">
        <is>
          <t>El-Tay, Dr. Ismael</t>
        </is>
      </c>
      <c r="L4">
        <f>VLOOKUP(K4, UserCodes!A:B, 2, FALSE)</f>
        <v/>
      </c>
      <c r="M4" t="inlineStr">
        <is>
          <t>No schedule</t>
        </is>
      </c>
    </row>
    <row r="5">
      <c r="A5" t="inlineStr">
        <is>
          <t>Abdi, Samira</t>
        </is>
      </c>
      <c r="B5" s="3" t="n">
        <v>46002</v>
      </c>
      <c r="C5" t="inlineStr">
        <is>
          <t>04:00 PM - 08:00 PM</t>
        </is>
      </c>
      <c r="D5" t="inlineStr">
        <is>
          <t>04:00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1/1 
97153</t>
        </is>
      </c>
      <c r="J5">
        <f>IF(L5="Level 1", VLOOKUP(I5, UserCodes!E:F, 2, FALSE) * H5, IF(L5="Level 2", VLOOKUP(I5, UserCodes!E:F, 2, FALSE) * H5 * 0.8, 0))</f>
        <v/>
      </c>
      <c r="K5" t="inlineStr">
        <is>
          <t>Muse, Nawaal</t>
        </is>
      </c>
      <c r="L5">
        <f>VLOOKUP(K5, UserCodes!A:B, 2, FALSE)</f>
        <v/>
      </c>
    </row>
    <row r="6">
      <c r="A6" t="inlineStr">
        <is>
          <t>Abdi, Samira</t>
        </is>
      </c>
      <c r="B6" s="3" t="n">
        <v>46003</v>
      </c>
      <c r="C6" t="inlineStr">
        <is>
          <t>04:00 PM - 08:00 PM</t>
        </is>
      </c>
      <c r="D6" t="inlineStr">
        <is>
          <t>04:00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Muse, Ayni</t>
        </is>
      </c>
      <c r="L6">
        <f>VLOOKUP(K6, UserCodes!A:B, 2, FALSE)</f>
        <v/>
      </c>
    </row>
    <row r="7">
      <c r="A7" t="inlineStr">
        <is>
          <t>Abdi, Samira</t>
        </is>
      </c>
      <c r="B7" s="3" t="n">
        <v>46003</v>
      </c>
      <c r="C7" t="inlineStr">
        <is>
          <t>09:00 AM - 11:30 AM</t>
        </is>
      </c>
      <c r="D7" t="inlineStr">
        <is>
          <t>02:30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J7">
        <f>IF(L7="Level 1", VLOOKUP(I7, UserCodes!E:F, 2, FALSE) * H7, IF(L7="Level 2", VLOOKUP(I7, UserCodes!E:F, 2, FALSE) * H7 * 0.8, 0))</f>
        <v/>
      </c>
      <c r="K7" t="inlineStr">
        <is>
          <t>Ahmed, Jama</t>
        </is>
      </c>
      <c r="L7">
        <f>VLOOKUP(K7, UserCodes!A:B, 2, FALSE)</f>
        <v/>
      </c>
      <c r="M7" t="inlineStr">
        <is>
          <t>No schedule</t>
        </is>
      </c>
    </row>
    <row r="8">
      <c r="A8" t="inlineStr">
        <is>
          <t>Abdi, Samira</t>
        </is>
      </c>
      <c r="B8" s="3" t="n">
        <v>46003</v>
      </c>
      <c r="C8" t="inlineStr">
        <is>
          <t>04:00pm - 08:00pm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1/1 
97153</t>
        </is>
      </c>
      <c r="J8">
        <f>IF(L8="Level 1", VLOOKUP(I8, UserCodes!E:F, 2, FALSE) * H8, IF(L8="Level 2", VLOOKUP(I8, UserCodes!E:F, 2, FALSE) * H8 * 0.8, 0))</f>
        <v/>
      </c>
      <c r="K8" t="inlineStr">
        <is>
          <t>Abdulle, Zamzam</t>
        </is>
      </c>
      <c r="L8">
        <f>VLOOKUP(K8, UserCodes!A:B, 2, FALSE)</f>
        <v/>
      </c>
      <c r="M8" t="inlineStr">
        <is>
          <t>No note</t>
        </is>
      </c>
    </row>
    <row r="9">
      <c r="A9" t="inlineStr">
        <is>
          <t>Abdi, Samira</t>
        </is>
      </c>
      <c r="B9" s="3" t="n">
        <v>46004</v>
      </c>
      <c r="C9" t="inlineStr">
        <is>
          <t>10:00 AM - 01:00 PM</t>
        </is>
      </c>
      <c r="D9" t="inlineStr">
        <is>
          <t>03:00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O&amp;D 
97155</t>
        </is>
      </c>
      <c r="J9">
        <f>IF(L9="Level 1", VLOOKUP(I9, UserCodes!E:F, 2, FALSE) * H9, IF(L9="Level 2", VLOOKUP(I9, UserCodes!E:F, 2, FALSE) * H9 * 0.8, 0))</f>
        <v/>
      </c>
      <c r="K9" t="inlineStr">
        <is>
          <t>Muse, Adna</t>
        </is>
      </c>
      <c r="L9">
        <f>VLOOKUP(K9, UserCodes!A:B, 2, FALSE)</f>
        <v/>
      </c>
    </row>
    <row r="10">
      <c r="A10" t="inlineStr">
        <is>
          <t>Abdi, Samira</t>
        </is>
      </c>
      <c r="B10" s="3" t="n">
        <v>46004</v>
      </c>
      <c r="C10" t="inlineStr">
        <is>
          <t>10:30 AM - 06:00 PM</t>
        </is>
      </c>
      <c r="D10" t="inlineStr">
        <is>
          <t>07:30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1/1 
97153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Muse, Nawaal</t>
        </is>
      </c>
      <c r="L10">
        <f>VLOOKUP(K10, UserCodes!A:B, 2, FALSE)</f>
        <v/>
      </c>
    </row>
    <row r="11">
      <c r="A11" t="inlineStr">
        <is>
          <t>Abdi, Samira</t>
        </is>
      </c>
      <c r="B11" s="3" t="n">
        <v>46006</v>
      </c>
      <c r="C11" t="inlineStr">
        <is>
          <t>04:00 PM - 07:00 PM</t>
        </is>
      </c>
      <c r="D11" t="inlineStr">
        <is>
          <t>03:00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O&amp;D 
97155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Muse, Ayni</t>
        </is>
      </c>
      <c r="L11">
        <f>VLOOKUP(K11, UserCodes!A:B, 2, FALSE)</f>
        <v/>
      </c>
    </row>
    <row r="12">
      <c r="A12" t="inlineStr">
        <is>
          <t>Abdi, Samira</t>
        </is>
      </c>
      <c r="B12" s="3" t="n">
        <v>46006</v>
      </c>
      <c r="C12" t="inlineStr">
        <is>
          <t>04:00 PM - 08:00 PM</t>
        </is>
      </c>
      <c r="D12" t="inlineStr">
        <is>
          <t>04:00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1/1 
97153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Ran, Sameya</t>
        </is>
      </c>
      <c r="L12">
        <f>VLOOKUP(K12, UserCodes!A:B, 2, FALSE)</f>
        <v/>
      </c>
    </row>
    <row r="13">
      <c r="A13" t="inlineStr">
        <is>
          <t>Abdi, Samira</t>
        </is>
      </c>
      <c r="B13" s="3" t="n">
        <v>46007</v>
      </c>
      <c r="C13" t="inlineStr">
        <is>
          <t>06:20 PM - 08:00 PM</t>
        </is>
      </c>
      <c r="D13" t="inlineStr">
        <is>
          <t>01:40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O&amp;D 
97155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Muse, Ayni</t>
        </is>
      </c>
      <c r="L13">
        <f>VLOOKUP(K13, UserCodes!A:B, 2, FALSE)</f>
        <v/>
      </c>
    </row>
    <row r="14">
      <c r="A14" t="inlineStr">
        <is>
          <t>Abdi, Samira</t>
        </is>
      </c>
      <c r="B14" s="3" t="n">
        <v>46007</v>
      </c>
      <c r="C14" t="inlineStr">
        <is>
          <t>01:35 PM - 03:55 PM</t>
        </is>
      </c>
      <c r="D14" t="inlineStr">
        <is>
          <t>02:20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J14">
        <f>IF(L14="Level 1", VLOOKUP(I14, UserCodes!E:F, 2, FALSE) * H14, IF(L14="Level 2", VLOOKUP(I14, UserCodes!E:F, 2, FALSE) * H14 * 0.8, 0))</f>
        <v/>
      </c>
      <c r="K14" t="inlineStr">
        <is>
          <t>Ahmed, Jama</t>
        </is>
      </c>
      <c r="L14">
        <f>VLOOKUP(K14, UserCodes!A:B, 2, FALSE)</f>
        <v/>
      </c>
      <c r="M14" t="inlineStr">
        <is>
          <t>No schedule</t>
        </is>
      </c>
    </row>
    <row r="15">
      <c r="A15" t="inlineStr">
        <is>
          <t>Abdi, Samira</t>
        </is>
      </c>
      <c r="B15" s="3" t="n">
        <v>46007</v>
      </c>
      <c r="C15" t="inlineStr">
        <is>
          <t>04:00 PM - 08:00 PM</t>
        </is>
      </c>
      <c r="D15" t="inlineStr">
        <is>
          <t>04:00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1/1 
97153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Muse, Nawaal</t>
        </is>
      </c>
      <c r="L15">
        <f>VLOOKUP(K15, UserCodes!A:B, 2, FALSE)</f>
        <v/>
      </c>
    </row>
    <row r="16">
      <c r="A16" t="inlineStr">
        <is>
          <t>Abdi, Samira</t>
        </is>
      </c>
      <c r="B16" s="3" t="n">
        <v>46008</v>
      </c>
      <c r="C16" t="inlineStr">
        <is>
          <t>05:00 PM - 08:00 PM</t>
        </is>
      </c>
      <c r="D16" t="inlineStr">
        <is>
          <t>03:00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O&amp;D 
97155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Muse, Ayni</t>
        </is>
      </c>
      <c r="L16">
        <f>VLOOKUP(K16, UserCodes!A:B, 2, FALSE)</f>
        <v/>
      </c>
    </row>
    <row r="17">
      <c r="A17" t="inlineStr">
        <is>
          <t>Abdi, Samira</t>
        </is>
      </c>
      <c r="B17" s="3" t="n">
        <v>46008</v>
      </c>
      <c r="C17" t="inlineStr">
        <is>
          <t>04:00 PM - 08:00 PM</t>
        </is>
      </c>
      <c r="D17" t="inlineStr">
        <is>
          <t>04:00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1/1 
97153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Barqab, Mushtaq</t>
        </is>
      </c>
      <c r="L17">
        <f>VLOOKUP(K17, UserCodes!A:B, 2, FALSE)</f>
        <v/>
      </c>
    </row>
    <row r="18">
      <c r="A18" t="inlineStr">
        <is>
          <t>Abdi, Samira</t>
        </is>
      </c>
      <c r="B18" s="3" t="n">
        <v>46009</v>
      </c>
      <c r="C18" t="inlineStr">
        <is>
          <t>04:00pm - 05:00pm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Abdulle, Zamzam</t>
        </is>
      </c>
      <c r="L18">
        <f>VLOOKUP(K18, UserCodes!A:B, 2, FALSE)</f>
        <v/>
      </c>
      <c r="M18" t="inlineStr">
        <is>
          <t>No note</t>
        </is>
      </c>
    </row>
    <row r="19">
      <c r="A19" t="inlineStr">
        <is>
          <t>Abdi, Samira</t>
        </is>
      </c>
      <c r="B19" s="3" t="n">
        <v>46009</v>
      </c>
      <c r="C19" t="inlineStr">
        <is>
          <t>12:55 PM - 03:10 PM</t>
        </is>
      </c>
      <c r="D19" t="inlineStr">
        <is>
          <t>02:15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J19">
        <f>IF(L19="Level 1", VLOOKUP(I19, UserCodes!E:F, 2, FALSE) * H19, IF(L19="Level 2", VLOOKUP(I19, UserCodes!E:F, 2, FALSE) * H19 * 0.8, 0))</f>
        <v/>
      </c>
      <c r="K19" t="inlineStr">
        <is>
          <t>Ahmed, Jama</t>
        </is>
      </c>
      <c r="L19">
        <f>VLOOKUP(K19, UserCodes!A:B, 2, FALSE)</f>
        <v/>
      </c>
      <c r="M19" t="inlineStr">
        <is>
          <t>No schedule</t>
        </is>
      </c>
    </row>
    <row r="20">
      <c r="A20" t="inlineStr">
        <is>
          <t>Abdi, Samira</t>
        </is>
      </c>
      <c r="B20" s="3" t="n">
        <v>46009</v>
      </c>
      <c r="C20" t="inlineStr">
        <is>
          <t>05:00 PM - 08:00 PM</t>
        </is>
      </c>
      <c r="D20" t="inlineStr">
        <is>
          <t>03:00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I20" t="inlineStr">
        <is>
          <t>1/1 
97153</t>
        </is>
      </c>
      <c r="J20">
        <f>IF(L20="Level 1", VLOOKUP(I20, UserCodes!E:F, 2, FALSE) * H20, IF(L20="Level 2", VLOOKUP(I20, UserCodes!E:F, 2, FALSE) * H20 * 0.8, 0))</f>
        <v/>
      </c>
      <c r="K20" t="inlineStr">
        <is>
          <t>Omar, Mohamed</t>
        </is>
      </c>
      <c r="L20">
        <f>VLOOKUP(K20, UserCodes!A:B, 2, FALSE)</f>
        <v/>
      </c>
    </row>
    <row r="21">
      <c r="A21" t="inlineStr">
        <is>
          <t>Abdi, Samira</t>
        </is>
      </c>
      <c r="B21" s="3" t="n">
        <v>46010</v>
      </c>
      <c r="C21" t="inlineStr">
        <is>
          <t>04:00 PM - 08:00 PM</t>
        </is>
      </c>
      <c r="D21" t="inlineStr">
        <is>
          <t>04:00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I21" t="inlineStr">
        <is>
          <t>1/1 
97153</t>
        </is>
      </c>
      <c r="J21">
        <f>IF(L21="Level 1", VLOOKUP(I21, UserCodes!E:F, 2, FALSE) * H21, IF(L21="Level 2", VLOOKUP(I21, UserCodes!E:F, 2, FALSE) * H21 * 0.8, 0))</f>
        <v/>
      </c>
      <c r="K21" t="inlineStr">
        <is>
          <t>Muse, Adna</t>
        </is>
      </c>
      <c r="L21">
        <f>VLOOKUP(K21, UserCodes!A:B, 2, FALSE)</f>
        <v/>
      </c>
    </row>
    <row r="22">
      <c r="A22" t="inlineStr">
        <is>
          <t>Abdi, Samira</t>
        </is>
      </c>
      <c r="B22" s="3" t="n">
        <v>46011</v>
      </c>
      <c r="C22" t="inlineStr">
        <is>
          <t>11:15 AM - 12:30 PM</t>
        </is>
      </c>
      <c r="D22" t="inlineStr">
        <is>
          <t>01:15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I22" t="inlineStr">
        <is>
          <t>1/1 
97153</t>
        </is>
      </c>
      <c r="J22">
        <f>IF(L22="Level 1", VLOOKUP(I22, UserCodes!E:F, 2, FALSE) * H22, IF(L22="Level 2", VLOOKUP(I22, UserCodes!E:F, 2, FALSE) * H22 * 0.8, 0))</f>
        <v/>
      </c>
      <c r="K22" t="inlineStr">
        <is>
          <t>Osman, Basra</t>
        </is>
      </c>
      <c r="L22">
        <f>VLOOKUP(K22, UserCodes!A:B, 2, FALSE)</f>
        <v/>
      </c>
    </row>
    <row r="23">
      <c r="A23" t="inlineStr">
        <is>
          <t>Abdi, Samira</t>
        </is>
      </c>
      <c r="B23" s="3" t="n">
        <v>46013</v>
      </c>
      <c r="C23" t="inlineStr">
        <is>
          <t>04:30 PM - 08:00 PM</t>
        </is>
      </c>
      <c r="D23" t="inlineStr">
        <is>
          <t>03:30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I23" t="inlineStr">
        <is>
          <t>1/1 
97153</t>
        </is>
      </c>
      <c r="J23">
        <f>IF(L23="Level 1", VLOOKUP(I23, UserCodes!E:F, 2, FALSE) * H23, IF(L23="Level 2", VLOOKUP(I23, UserCodes!E:F, 2, FALSE) * H23 * 0.8, 0))</f>
        <v/>
      </c>
      <c r="K23" t="inlineStr">
        <is>
          <t>Ali, Naima</t>
        </is>
      </c>
      <c r="L23">
        <f>VLOOKUP(K23, UserCodes!A:B, 2, FALSE)</f>
        <v/>
      </c>
    </row>
    <row r="24">
      <c r="A24" t="inlineStr">
        <is>
          <t>Abdi, Samira</t>
        </is>
      </c>
      <c r="B24" s="3" t="n">
        <v>46013</v>
      </c>
      <c r="C24" t="inlineStr">
        <is>
          <t>12:00 PM - 04:00 PM</t>
        </is>
      </c>
      <c r="D24" t="inlineStr">
        <is>
          <t>04:00</t>
        </is>
      </c>
      <c r="E24">
        <f>HOUR(D24)+MINUTE(D24)/100</f>
        <v/>
      </c>
      <c r="F24">
        <f>ROUND(INT(E24) + (E24 - INT(E24)) * 100 / 60, 2)</f>
        <v/>
      </c>
      <c r="G24">
        <f>E24*4</f>
        <v/>
      </c>
      <c r="H24">
        <f>LET(total, INT(E24)*60 + (E24-INT(E24))*100, blocks, QUOTIENT(total, 15), extra, MOD(total, 15), units, blocks + IF(extra&gt;=8, 1, 0), units)</f>
        <v/>
      </c>
      <c r="I24" t="inlineStr">
        <is>
          <t>1/1 
97153</t>
        </is>
      </c>
      <c r="J24">
        <f>IF(L24="Level 1", VLOOKUP(I24, UserCodes!E:F, 2, FALSE) * H24, IF(L24="Level 2", VLOOKUP(I24, UserCodes!E:F, 2, FALSE) * H24 * 0.8, 0))</f>
        <v/>
      </c>
      <c r="K24" t="inlineStr">
        <is>
          <t>Ali, Naima</t>
        </is>
      </c>
      <c r="L24">
        <f>VLOOKUP(K24, UserCodes!A:B, 2, FALSE)</f>
        <v/>
      </c>
    </row>
    <row r="25">
      <c r="A25" t="inlineStr">
        <is>
          <t>Abdi, Samira</t>
        </is>
      </c>
      <c r="B25" s="3" t="n">
        <v>46013</v>
      </c>
      <c r="C25" t="inlineStr">
        <is>
          <t>09:30 AM - 11:45 AM</t>
        </is>
      </c>
      <c r="D25" t="inlineStr">
        <is>
          <t>02:15</t>
        </is>
      </c>
      <c r="E25">
        <f>HOUR(D25)+MINUTE(D25)/100</f>
        <v/>
      </c>
      <c r="F25">
        <f>ROUND(INT(E25) + (E25 - INT(E25)) * 100 / 60, 2)</f>
        <v/>
      </c>
      <c r="G25">
        <f>E25*4</f>
        <v/>
      </c>
      <c r="H25">
        <f>LET(total, INT(E25)*60 + (E25-INT(E25))*100, blocks, QUOTIENT(total, 15), extra, MOD(total, 15), units, blocks + IF(extra&gt;=8, 1, 0), units)</f>
        <v/>
      </c>
      <c r="J25">
        <f>IF(L25="Level 1", VLOOKUP(I25, UserCodes!E:F, 2, FALSE) * H25, IF(L25="Level 2", VLOOKUP(I25, UserCodes!E:F, 2, FALSE) * H25 * 0.8, 0))</f>
        <v/>
      </c>
      <c r="K25" t="inlineStr">
        <is>
          <t>Ahmed, Jama</t>
        </is>
      </c>
      <c r="L25">
        <f>VLOOKUP(K25, UserCodes!A:B, 2, FALSE)</f>
        <v/>
      </c>
      <c r="M25" t="inlineStr">
        <is>
          <t>No schedule</t>
        </is>
      </c>
    </row>
    <row r="26">
      <c r="A26" t="inlineStr">
        <is>
          <t>Abdi, Samira</t>
        </is>
      </c>
      <c r="B26" s="3" t="n">
        <v>46014</v>
      </c>
      <c r="C26" t="inlineStr">
        <is>
          <t>12:15 PM - 08:00 PM</t>
        </is>
      </c>
      <c r="D26" t="inlineStr">
        <is>
          <t>07:45</t>
        </is>
      </c>
      <c r="E26">
        <f>HOUR(D26)+MINUTE(D26)/100</f>
        <v/>
      </c>
      <c r="F26">
        <f>ROUND(INT(E26) + (E26 - INT(E26)) * 100 / 60, 2)</f>
        <v/>
      </c>
      <c r="G26">
        <f>E26*4</f>
        <v/>
      </c>
      <c r="H26">
        <f>LET(total, INT(E26)*60 + (E26-INT(E26))*100, blocks, QUOTIENT(total, 15), extra, MOD(total, 15), units, blocks + IF(extra&gt;=8, 1, 0), units)</f>
        <v/>
      </c>
      <c r="I26" t="inlineStr">
        <is>
          <t>1/1 
97153</t>
        </is>
      </c>
      <c r="J26">
        <f>IF(L26="Level 1", VLOOKUP(I26, UserCodes!E:F, 2, FALSE) * H26, IF(L26="Level 2", VLOOKUP(I26, UserCodes!E:F, 2, FALSE) * H26 * 0.8, 0))</f>
        <v/>
      </c>
      <c r="K26" t="inlineStr">
        <is>
          <t>Ran, Sameya</t>
        </is>
      </c>
      <c r="L26">
        <f>VLOOKUP(K26, UserCodes!A:B, 2, FALSE)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Abdi, Mohamed</t>
        </is>
      </c>
      <c r="B2" s="3" t="n">
        <v>46002</v>
      </c>
      <c r="C2" t="inlineStr">
        <is>
          <t>03:00 PM - 08:00 PM</t>
        </is>
      </c>
      <c r="D2" t="inlineStr">
        <is>
          <t>05:00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1/1 
97153</t>
        </is>
      </c>
      <c r="J2">
        <f>IF(L2="Level 1", VLOOKUP(I2, UserCodes!E:F, 2, FALSE) * H2, IF(L2="Level 2", VLOOKUP(I2, UserCodes!E:F, 2, FALSE) * H2 * 0.8, 0))</f>
        <v/>
      </c>
      <c r="K2" t="inlineStr">
        <is>
          <t>Omar, Mohamed</t>
        </is>
      </c>
      <c r="L2">
        <f>VLOOKUP(K2, UserCodes!A:B, 2, FALSE)</f>
        <v/>
      </c>
    </row>
    <row r="3">
      <c r="A3" t="inlineStr">
        <is>
          <t>Abdi, Mohamed</t>
        </is>
      </c>
      <c r="B3" s="3" t="n">
        <v>46002</v>
      </c>
      <c r="C3" t="inlineStr">
        <is>
          <t>04:00 PM - 07:00 PM</t>
        </is>
      </c>
      <c r="D3" t="inlineStr">
        <is>
          <t>03:00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O&amp;D 
97155</t>
        </is>
      </c>
      <c r="J3">
        <f>IF(L3="Level 1", VLOOKUP(I3, UserCodes!E:F, 2, FALSE) * H3, IF(L3="Level 2", VLOOKUP(I3, UserCodes!E:F, 2, FALSE) * H3 * 0.8, 0))</f>
        <v/>
      </c>
      <c r="K3" t="inlineStr">
        <is>
          <t>Hawadle, Abdiaziz</t>
        </is>
      </c>
      <c r="L3">
        <f>VLOOKUP(K3, UserCodes!A:B, 2, FALSE)</f>
        <v/>
      </c>
    </row>
    <row r="4">
      <c r="A4" t="inlineStr">
        <is>
          <t>Abdi, Mohamed</t>
        </is>
      </c>
      <c r="B4" s="3" t="n">
        <v>46003</v>
      </c>
      <c r="C4" t="inlineStr">
        <is>
          <t>03:00 PM - 08:00 PM</t>
        </is>
      </c>
      <c r="D4" t="inlineStr">
        <is>
          <t>05:00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1/1 
97153</t>
        </is>
      </c>
      <c r="J4">
        <f>IF(L4="Level 1", VLOOKUP(I4, UserCodes!E:F, 2, FALSE) * H4, IF(L4="Level 2", VLOOKUP(I4, UserCodes!E:F, 2, FALSE) * H4 * 0.8, 0))</f>
        <v/>
      </c>
      <c r="K4" t="inlineStr">
        <is>
          <t>Osman, Basra</t>
        </is>
      </c>
      <c r="L4">
        <f>VLOOKUP(K4, UserCodes!A:B, 2, FALSE)</f>
        <v/>
      </c>
    </row>
    <row r="5">
      <c r="A5" t="inlineStr">
        <is>
          <t>Abdi, Mohamed</t>
        </is>
      </c>
      <c r="B5" s="3" t="n">
        <v>46004</v>
      </c>
      <c r="C5" t="inlineStr">
        <is>
          <t>10:00 AM - 02:40 PM</t>
        </is>
      </c>
      <c r="D5" t="inlineStr">
        <is>
          <t>04:40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1/1 
97153</t>
        </is>
      </c>
      <c r="J5">
        <f>IF(L5="Level 1", VLOOKUP(I5, UserCodes!E:F, 2, FALSE) * H5, IF(L5="Level 2", VLOOKUP(I5, UserCodes!E:F, 2, FALSE) * H5 * 0.8, 0))</f>
        <v/>
      </c>
      <c r="K5" t="inlineStr">
        <is>
          <t>Mohamed, Mohamed</t>
        </is>
      </c>
      <c r="L5">
        <f>VLOOKUP(K5, UserCodes!A:B, 2, FALSE)</f>
        <v/>
      </c>
    </row>
    <row r="6">
      <c r="A6" t="inlineStr">
        <is>
          <t>Abdi, Mohamed</t>
        </is>
      </c>
      <c r="B6" s="3" t="n">
        <v>46004</v>
      </c>
      <c r="C6" t="inlineStr">
        <is>
          <t>01:00 PM - 02:40 PM</t>
        </is>
      </c>
      <c r="D6" t="inlineStr">
        <is>
          <t>01:40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O&amp;D 
97155</t>
        </is>
      </c>
      <c r="J6">
        <f>IF(L6="Level 1", VLOOKUP(I6, UserCodes!E:F, 2, FALSE) * H6, IF(L6="Level 2", VLOOKUP(I6, UserCodes!E:F, 2, FALSE) * H6 * 0.8, 0))</f>
        <v/>
      </c>
      <c r="K6" t="inlineStr">
        <is>
          <t>Hawadle, Abdiaziz</t>
        </is>
      </c>
      <c r="L6">
        <f>VLOOKUP(K6, UserCodes!A:B, 2, FALSE)</f>
        <v/>
      </c>
    </row>
    <row r="7">
      <c r="A7" t="inlineStr">
        <is>
          <t>Abdi, Mohamed</t>
        </is>
      </c>
      <c r="B7" s="3" t="n">
        <v>46004</v>
      </c>
      <c r="C7" t="inlineStr">
        <is>
          <t>02:40 PM - 06:10 PM</t>
        </is>
      </c>
      <c r="D7" t="inlineStr">
        <is>
          <t>03:30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1/1 
97153</t>
        </is>
      </c>
      <c r="J7">
        <f>IF(L7="Level 1", VLOOKUP(I7, UserCodes!E:F, 2, FALSE) * H7, IF(L7="Level 2", VLOOKUP(I7, UserCodes!E:F, 2, FALSE) * H7 * 0.8, 0))</f>
        <v/>
      </c>
      <c r="K7" t="inlineStr">
        <is>
          <t>Ibrahim, Ahmed</t>
        </is>
      </c>
      <c r="L7">
        <f>VLOOKUP(K7, UserCodes!A:B, 2, FALSE)</f>
        <v/>
      </c>
    </row>
    <row r="8">
      <c r="A8" t="inlineStr">
        <is>
          <t>Abdi, Mohamed</t>
        </is>
      </c>
      <c r="B8" s="3" t="n">
        <v>46004</v>
      </c>
      <c r="C8" t="inlineStr">
        <is>
          <t>02:40 PM - 04:00 PM</t>
        </is>
      </c>
      <c r="D8" t="inlineStr">
        <is>
          <t>01:20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O&amp;D 
97155</t>
        </is>
      </c>
      <c r="J8">
        <f>IF(L8="Level 1", VLOOKUP(I8, UserCodes!E:F, 2, FALSE) * H8, IF(L8="Level 2", VLOOKUP(I8, UserCodes!E:F, 2, FALSE) * H8 * 0.8, 0))</f>
        <v/>
      </c>
      <c r="K8" t="inlineStr">
        <is>
          <t>Hawadle, Abdiaziz</t>
        </is>
      </c>
      <c r="L8">
        <f>VLOOKUP(K8, UserCodes!A:B, 2, FALSE)</f>
        <v/>
      </c>
    </row>
    <row r="9">
      <c r="A9" t="inlineStr">
        <is>
          <t>Abdi, Mohamed</t>
        </is>
      </c>
      <c r="B9" s="3" t="n">
        <v>46006</v>
      </c>
      <c r="C9" t="inlineStr">
        <is>
          <t>03:00 PM - 08:00 PM</t>
        </is>
      </c>
      <c r="D9" t="inlineStr">
        <is>
          <t>05:00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1/1 
97153</t>
        </is>
      </c>
      <c r="J9">
        <f>IF(L9="Level 1", VLOOKUP(I9, UserCodes!E:F, 2, FALSE) * H9, IF(L9="Level 2", VLOOKUP(I9, UserCodes!E:F, 2, FALSE) * H9 * 0.8, 0))</f>
        <v/>
      </c>
      <c r="K9" t="inlineStr">
        <is>
          <t>Omar, Mohamed</t>
        </is>
      </c>
      <c r="L9">
        <f>VLOOKUP(K9, UserCodes!A:B, 2, FALSE)</f>
        <v/>
      </c>
    </row>
    <row r="10">
      <c r="A10" t="inlineStr">
        <is>
          <t>Abdi, Mohamed</t>
        </is>
      </c>
      <c r="B10" s="3" t="n">
        <v>46006</v>
      </c>
      <c r="C10" t="inlineStr">
        <is>
          <t>06:15 PM - 08:00 PM</t>
        </is>
      </c>
      <c r="D10" t="inlineStr">
        <is>
          <t>01:45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O&amp;D 
97155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Noor, Kamilo</t>
        </is>
      </c>
      <c r="L10">
        <f>VLOOKUP(K10, UserCodes!A:B, 2, FALSE)</f>
        <v/>
      </c>
    </row>
    <row r="11">
      <c r="A11" t="inlineStr">
        <is>
          <t>Abdi, Mohamed</t>
        </is>
      </c>
      <c r="B11" s="3" t="n">
        <v>46007</v>
      </c>
      <c r="C11" t="inlineStr">
        <is>
          <t>02:15 PM - 08:00 PM</t>
        </is>
      </c>
      <c r="D11" t="inlineStr">
        <is>
          <t>05:45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1/1 
97153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Ibrahim, Ahmed</t>
        </is>
      </c>
      <c r="L11">
        <f>VLOOKUP(K11, UserCodes!A:B, 2, FALSE)</f>
        <v/>
      </c>
    </row>
    <row r="12">
      <c r="A12" t="inlineStr">
        <is>
          <t>Abdi, Mohamed</t>
        </is>
      </c>
      <c r="B12" s="3" t="n">
        <v>46007</v>
      </c>
      <c r="C12" t="inlineStr">
        <is>
          <t>04:00 PM - 07:00 PM</t>
        </is>
      </c>
      <c r="D12" t="inlineStr">
        <is>
          <t>03:00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O&amp;D 
97155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Hawadle, Abdiaziz</t>
        </is>
      </c>
      <c r="L12">
        <f>VLOOKUP(K12, UserCodes!A:B, 2, FALSE)</f>
        <v/>
      </c>
    </row>
    <row r="13">
      <c r="A13" t="inlineStr">
        <is>
          <t>Abdi, Mohamed</t>
        </is>
      </c>
      <c r="B13" s="3" t="n">
        <v>46008</v>
      </c>
      <c r="C13" t="inlineStr">
        <is>
          <t>06:00 PM - 08:00 PM</t>
        </is>
      </c>
      <c r="D13" t="inlineStr">
        <is>
          <t>02:00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O&amp;D 
97155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Hashi, Ridwan</t>
        </is>
      </c>
      <c r="L13">
        <f>VLOOKUP(K13, UserCodes!A:B, 2, FALSE)</f>
        <v/>
      </c>
    </row>
    <row r="14">
      <c r="A14" t="inlineStr">
        <is>
          <t>Abdi, Mohamed</t>
        </is>
      </c>
      <c r="B14" s="3" t="n">
        <v>46008</v>
      </c>
      <c r="C14" t="inlineStr">
        <is>
          <t>03:00 PM - 08:00 PM</t>
        </is>
      </c>
      <c r="D14" t="inlineStr">
        <is>
          <t>05:00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1/1 
97153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Omar, Mohamed</t>
        </is>
      </c>
      <c r="L14">
        <f>VLOOKUP(K14, UserCodes!A:B, 2, FALSE)</f>
        <v/>
      </c>
    </row>
    <row r="15">
      <c r="A15" t="inlineStr">
        <is>
          <t>Abdi, Mohamed</t>
        </is>
      </c>
      <c r="B15" s="3" t="n">
        <v>46009</v>
      </c>
      <c r="C15" t="inlineStr">
        <is>
          <t>03:00 PM - 07:40 PM</t>
        </is>
      </c>
      <c r="D15" t="inlineStr">
        <is>
          <t>04:40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1/1 
97153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Osman, Basra</t>
        </is>
      </c>
      <c r="L15">
        <f>VLOOKUP(K15, UserCodes!A:B, 2, FALSE)</f>
        <v/>
      </c>
    </row>
    <row r="16">
      <c r="A16" t="inlineStr">
        <is>
          <t>Abdi, Mohamed</t>
        </is>
      </c>
      <c r="B16" s="3" t="n">
        <v>46010</v>
      </c>
      <c r="C16" t="inlineStr">
        <is>
          <t>03:20 PM - 08:00 PM</t>
        </is>
      </c>
      <c r="D16" t="inlineStr">
        <is>
          <t>04:40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1/1 
97153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Mohamed, Samsam</t>
        </is>
      </c>
      <c r="L16">
        <f>VLOOKUP(K16, UserCodes!A:B, 2, FALSE)</f>
        <v/>
      </c>
    </row>
    <row r="17">
      <c r="A17" t="inlineStr">
        <is>
          <t>Abdi, Mohamed</t>
        </is>
      </c>
      <c r="B17" s="3" t="n">
        <v>46011</v>
      </c>
      <c r="C17" t="inlineStr">
        <is>
          <t>10:35 AM - 06:00 PM</t>
        </is>
      </c>
      <c r="D17" t="inlineStr">
        <is>
          <t>07:25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1/1 
97153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Mohamed, Samsam</t>
        </is>
      </c>
      <c r="L17">
        <f>VLOOKUP(K17, UserCodes!A:B, 2, FALSE)</f>
        <v/>
      </c>
    </row>
    <row r="18">
      <c r="A18" t="inlineStr">
        <is>
          <t>Abdi, Mohamed</t>
        </is>
      </c>
      <c r="B18" s="3" t="n">
        <v>46013</v>
      </c>
      <c r="C18" t="inlineStr">
        <is>
          <t>03:00pm - 08:00pm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Mohamed, Mohamed</t>
        </is>
      </c>
      <c r="L18">
        <f>VLOOKUP(K18, UserCodes!A:B, 2, FALSE)</f>
        <v/>
      </c>
      <c r="M18" t="inlineStr">
        <is>
          <t>No note</t>
        </is>
      </c>
    </row>
    <row r="19">
      <c r="A19" t="inlineStr">
        <is>
          <t>Abdi, Mohamed</t>
        </is>
      </c>
      <c r="B19" s="3" t="n">
        <v>46013</v>
      </c>
      <c r="C19" t="inlineStr">
        <is>
          <t>07:00pm - 08:00pm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O&amp;D 
97155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Ibrahim, Ahmed</t>
        </is>
      </c>
      <c r="L19">
        <f>VLOOKUP(K19, UserCodes!A:B, 2, FALSE)</f>
        <v/>
      </c>
      <c r="M19" t="inlineStr">
        <is>
          <t>No note</t>
        </is>
      </c>
    </row>
    <row r="20">
      <c r="A20" t="inlineStr">
        <is>
          <t>Abdi, Mohamed</t>
        </is>
      </c>
      <c r="B20" s="3" t="n">
        <v>46014</v>
      </c>
      <c r="C20" t="inlineStr">
        <is>
          <t>03:00 PM - 08:00 PM</t>
        </is>
      </c>
      <c r="D20" t="inlineStr">
        <is>
          <t>05:00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I20" t="inlineStr">
        <is>
          <t>1/1 
97153</t>
        </is>
      </c>
      <c r="J20">
        <f>IF(L20="Level 1", VLOOKUP(I20, UserCodes!E:F, 2, FALSE) * H20, IF(L20="Level 2", VLOOKUP(I20, UserCodes!E:F, 2, FALSE) * H20 * 0.8, 0))</f>
        <v/>
      </c>
      <c r="K20" t="inlineStr">
        <is>
          <t>Omar, Mohamed</t>
        </is>
      </c>
      <c r="L20">
        <f>VLOOKUP(K20, UserCodes!A:B, 2, FALSE)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Abdi, Salman</t>
        </is>
      </c>
      <c r="B2" s="3" t="n">
        <v>46002</v>
      </c>
      <c r="C2" t="inlineStr">
        <is>
          <t>03:15 PM - 08:00 PM</t>
        </is>
      </c>
      <c r="D2" t="inlineStr">
        <is>
          <t>04:45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1/1 
97153</t>
        </is>
      </c>
      <c r="J2">
        <f>IF(L2="Level 1", VLOOKUP(I2, UserCodes!E:F, 2, FALSE) * H2, IF(L2="Level 2", VLOOKUP(I2, UserCodes!E:F, 2, FALSE) * H2 * 0.8, 0))</f>
        <v/>
      </c>
      <c r="K2" t="inlineStr">
        <is>
          <t>Mohamed, Mohamed</t>
        </is>
      </c>
      <c r="L2">
        <f>VLOOKUP(K2, UserCodes!A:B, 2, FALSE)</f>
        <v/>
      </c>
    </row>
    <row r="3">
      <c r="A3" t="inlineStr">
        <is>
          <t>Abdi, Salman</t>
        </is>
      </c>
      <c r="B3" s="3" t="n">
        <v>46002</v>
      </c>
      <c r="C3" t="inlineStr">
        <is>
          <t>04:30 PM - 06:30 PM</t>
        </is>
      </c>
      <c r="D3" t="inlineStr">
        <is>
          <t>02:00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O&amp;D 
97155</t>
        </is>
      </c>
      <c r="J3">
        <f>IF(L3="Level 1", VLOOKUP(I3, UserCodes!E:F, 2, FALSE) * H3, IF(L3="Level 2", VLOOKUP(I3, UserCodes!E:F, 2, FALSE) * H3 * 0.8, 0))</f>
        <v/>
      </c>
      <c r="K3" t="inlineStr">
        <is>
          <t>Mohamed, Madar</t>
        </is>
      </c>
      <c r="L3">
        <f>VLOOKUP(K3, UserCodes!A:B, 2, FALSE)</f>
        <v/>
      </c>
    </row>
    <row r="4">
      <c r="A4" t="inlineStr">
        <is>
          <t>Abdi, Salman</t>
        </is>
      </c>
      <c r="B4" s="3" t="n">
        <v>46003</v>
      </c>
      <c r="C4" t="inlineStr">
        <is>
          <t>03:15 PM - 08:00 PM</t>
        </is>
      </c>
      <c r="D4" t="inlineStr">
        <is>
          <t>04:45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1/1 
97153</t>
        </is>
      </c>
      <c r="J4">
        <f>IF(L4="Level 1", VLOOKUP(I4, UserCodes!E:F, 2, FALSE) * H4, IF(L4="Level 2", VLOOKUP(I4, UserCodes!E:F, 2, FALSE) * H4 * 0.8, 0))</f>
        <v/>
      </c>
      <c r="K4" t="inlineStr">
        <is>
          <t>Omar, Mohamed</t>
        </is>
      </c>
      <c r="L4">
        <f>VLOOKUP(K4, UserCodes!A:B, 2, FALSE)</f>
        <v/>
      </c>
    </row>
    <row r="5">
      <c r="A5" t="inlineStr">
        <is>
          <t>Abdi, Salman</t>
        </is>
      </c>
      <c r="B5" s="3" t="n">
        <v>46006</v>
      </c>
      <c r="C5" t="inlineStr">
        <is>
          <t>07:00 PM - 08:00 PM</t>
        </is>
      </c>
      <c r="D5" t="inlineStr">
        <is>
          <t>01:00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O&amp;D 
97155</t>
        </is>
      </c>
      <c r="J5">
        <f>IF(L5="Level 1", VLOOKUP(I5, UserCodes!E:F, 2, FALSE) * H5, IF(L5="Level 2", VLOOKUP(I5, UserCodes!E:F, 2, FALSE) * H5 * 0.8, 0))</f>
        <v/>
      </c>
      <c r="K5" t="inlineStr">
        <is>
          <t>Muse, Ayni</t>
        </is>
      </c>
      <c r="L5">
        <f>VLOOKUP(K5, UserCodes!A:B, 2, FALSE)</f>
        <v/>
      </c>
    </row>
    <row r="6">
      <c r="A6" t="inlineStr">
        <is>
          <t>Abdi, Salman</t>
        </is>
      </c>
      <c r="B6" s="3" t="n">
        <v>46006</v>
      </c>
      <c r="C6" t="inlineStr">
        <is>
          <t>03:15 PM - 08:00 PM</t>
        </is>
      </c>
      <c r="D6" t="inlineStr">
        <is>
          <t>04:45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Mohamed, Mohamed</t>
        </is>
      </c>
      <c r="L6">
        <f>VLOOKUP(K6, UserCodes!A:B, 2, FALSE)</f>
        <v/>
      </c>
    </row>
    <row r="7">
      <c r="A7" t="inlineStr">
        <is>
          <t>Abdi, Salman</t>
        </is>
      </c>
      <c r="B7" s="3" t="n">
        <v>46007</v>
      </c>
      <c r="C7" t="inlineStr">
        <is>
          <t>03:15 PM - 08:15 PM</t>
        </is>
      </c>
      <c r="D7" t="inlineStr">
        <is>
          <t>05:00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1/1 
97153</t>
        </is>
      </c>
      <c r="J7">
        <f>IF(L7="Level 1", VLOOKUP(I7, UserCodes!E:F, 2, FALSE) * H7, IF(L7="Level 2", VLOOKUP(I7, UserCodes!E:F, 2, FALSE) * H7 * 0.8, 0))</f>
        <v/>
      </c>
      <c r="K7" t="inlineStr">
        <is>
          <t>Omar, Mohamed</t>
        </is>
      </c>
      <c r="L7">
        <f>VLOOKUP(K7, UserCodes!A:B, 2, FALSE)</f>
        <v/>
      </c>
    </row>
    <row r="8">
      <c r="A8" t="inlineStr">
        <is>
          <t>Abdi, Salman</t>
        </is>
      </c>
      <c r="B8" s="3" t="n">
        <v>46007</v>
      </c>
      <c r="C8" t="inlineStr">
        <is>
          <t>04:00 PM - 06:00 PM</t>
        </is>
      </c>
      <c r="D8" t="inlineStr">
        <is>
          <t>02:00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O&amp;D 
97155</t>
        </is>
      </c>
      <c r="J8">
        <f>IF(L8="Level 1", VLOOKUP(I8, UserCodes!E:F, 2, FALSE) * H8, IF(L8="Level 2", VLOOKUP(I8, UserCodes!E:F, 2, FALSE) * H8 * 0.8, 0))</f>
        <v/>
      </c>
      <c r="K8" t="inlineStr">
        <is>
          <t>Mohamed, Madar</t>
        </is>
      </c>
      <c r="L8">
        <f>VLOOKUP(K8, UserCodes!A:B, 2, FALSE)</f>
        <v/>
      </c>
    </row>
    <row r="9">
      <c r="A9" t="inlineStr">
        <is>
          <t>Abdi, Salman</t>
        </is>
      </c>
      <c r="B9" s="3" t="n">
        <v>46007</v>
      </c>
      <c r="C9" t="inlineStr">
        <is>
          <t>07:00 PM - 08:00 PM</t>
        </is>
      </c>
      <c r="D9" t="inlineStr">
        <is>
          <t>01:00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O&amp;D 
97155</t>
        </is>
      </c>
      <c r="J9">
        <f>IF(L9="Level 1", VLOOKUP(I9, UserCodes!E:F, 2, FALSE) * H9, IF(L9="Level 2", VLOOKUP(I9, UserCodes!E:F, 2, FALSE) * H9 * 0.8, 0))</f>
        <v/>
      </c>
      <c r="K9" t="inlineStr">
        <is>
          <t>Noor, Kamilo</t>
        </is>
      </c>
      <c r="L9">
        <f>VLOOKUP(K9, UserCodes!A:B, 2, FALSE)</f>
        <v/>
      </c>
    </row>
    <row r="10">
      <c r="A10" t="inlineStr">
        <is>
          <t>Abdi, Salman</t>
        </is>
      </c>
      <c r="B10" s="3" t="n">
        <v>46008</v>
      </c>
      <c r="C10" t="inlineStr">
        <is>
          <t>05:00 PM - 08:00 PM</t>
        </is>
      </c>
      <c r="D10" t="inlineStr">
        <is>
          <t>03:00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O&amp;D 
97155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Osman, Basra</t>
        </is>
      </c>
      <c r="L10">
        <f>VLOOKUP(K10, UserCodes!A:B, 2, FALSE)</f>
        <v/>
      </c>
    </row>
    <row r="11">
      <c r="A11" t="inlineStr">
        <is>
          <t>Abdi, Salman</t>
        </is>
      </c>
      <c r="B11" s="3" t="n">
        <v>46008</v>
      </c>
      <c r="C11" t="inlineStr">
        <is>
          <t>03:15 PM - 08:00 PM</t>
        </is>
      </c>
      <c r="D11" t="inlineStr">
        <is>
          <t>04:45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1/1 
97153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Mohamed, Mohamed</t>
        </is>
      </c>
      <c r="L11">
        <f>VLOOKUP(K11, UserCodes!A:B, 2, FALSE)</f>
        <v/>
      </c>
    </row>
    <row r="12">
      <c r="A12" t="inlineStr">
        <is>
          <t>Abdi, Salman</t>
        </is>
      </c>
      <c r="B12" s="3" t="n">
        <v>46009</v>
      </c>
      <c r="C12" t="inlineStr">
        <is>
          <t>03:15 PM - 08:00 PM</t>
        </is>
      </c>
      <c r="D12" t="inlineStr">
        <is>
          <t>04:45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1/1 
97153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Mohamed, Mohamed</t>
        </is>
      </c>
      <c r="L12">
        <f>VLOOKUP(K12, UserCodes!A:B, 2, FALSE)</f>
        <v/>
      </c>
    </row>
    <row r="13">
      <c r="A13" t="inlineStr">
        <is>
          <t>Abdi, Salman</t>
        </is>
      </c>
      <c r="B13" s="3" t="n">
        <v>46009</v>
      </c>
      <c r="C13" t="inlineStr">
        <is>
          <t>04:30 PM - 06:30 PM</t>
        </is>
      </c>
      <c r="D13" t="inlineStr">
        <is>
          <t>02:00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O&amp;D 
97155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Mohamed, Madar</t>
        </is>
      </c>
      <c r="L13">
        <f>VLOOKUP(K13, UserCodes!A:B, 2, FALSE)</f>
        <v/>
      </c>
    </row>
    <row r="14">
      <c r="A14" t="inlineStr">
        <is>
          <t>Abdi, Salman</t>
        </is>
      </c>
      <c r="B14" s="3" t="n">
        <v>46013</v>
      </c>
      <c r="C14" t="inlineStr">
        <is>
          <t>06:39 PM - 08:00 PM</t>
        </is>
      </c>
      <c r="D14" t="inlineStr">
        <is>
          <t>01:21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1/1 
97153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Omar, Mohamed</t>
        </is>
      </c>
      <c r="L14">
        <f>VLOOKUP(K14, UserCodes!A:B, 2, FALSE)</f>
        <v/>
      </c>
    </row>
    <row r="15">
      <c r="A15" t="inlineStr">
        <is>
          <t>Abdi, Salman</t>
        </is>
      </c>
      <c r="B15" s="3" t="n">
        <v>46013</v>
      </c>
      <c r="C15" t="inlineStr">
        <is>
          <t>03:00 PM - 06:00 PM</t>
        </is>
      </c>
      <c r="D15" t="inlineStr">
        <is>
          <t>03:00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O&amp;D 
97155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Mohamed, Madar</t>
        </is>
      </c>
      <c r="L15">
        <f>VLOOKUP(K15, UserCodes!A:B, 2, FALSE)</f>
        <v/>
      </c>
    </row>
    <row r="16">
      <c r="A16" t="inlineStr">
        <is>
          <t>Abdi, Salman</t>
        </is>
      </c>
      <c r="B16" s="3" t="n">
        <v>46013</v>
      </c>
      <c r="C16" t="inlineStr">
        <is>
          <t>12:00 PM - 06:09 PM</t>
        </is>
      </c>
      <c r="D16" t="inlineStr">
        <is>
          <t>06:09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1/1 
97153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Omar, Mohamed</t>
        </is>
      </c>
      <c r="L16">
        <f>VLOOKUP(K16, UserCodes!A:B, 2, FALSE)</f>
        <v/>
      </c>
    </row>
    <row r="17">
      <c r="A17" t="inlineStr">
        <is>
          <t>Abdi, Salman</t>
        </is>
      </c>
      <c r="B17" s="3" t="n">
        <v>46014</v>
      </c>
      <c r="C17" t="inlineStr">
        <is>
          <t>12:00pm - 04:00pm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1/1 
97153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Abdulle, Zamzam</t>
        </is>
      </c>
      <c r="L17">
        <f>VLOOKUP(K17, UserCodes!A:B, 2, FALSE)</f>
        <v/>
      </c>
      <c r="M17" t="inlineStr">
        <is>
          <t>No note</t>
        </is>
      </c>
    </row>
    <row r="18">
      <c r="A18" t="inlineStr">
        <is>
          <t>Abdi, Salman</t>
        </is>
      </c>
      <c r="B18" s="3" t="n">
        <v>46014</v>
      </c>
      <c r="C18" t="inlineStr">
        <is>
          <t>04:30 PM - 06:30 PM</t>
        </is>
      </c>
      <c r="D18" t="inlineStr">
        <is>
          <t>02:00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J18">
        <f>IF(L18="Level 1", VLOOKUP(I18, UserCodes!E:F, 2, FALSE) * H18, IF(L18="Level 2", VLOOKUP(I18, UserCodes!E:F, 2, FALSE) * H18 * 0.8, 0))</f>
        <v/>
      </c>
      <c r="K18" t="inlineStr">
        <is>
          <t>Mohamed, Madar</t>
        </is>
      </c>
      <c r="L18">
        <f>VLOOKUP(K18, UserCodes!A:B, 2, FALSE)</f>
        <v/>
      </c>
      <c r="M18" t="inlineStr">
        <is>
          <t>No schedule</t>
        </is>
      </c>
    </row>
    <row r="19">
      <c r="A19" t="inlineStr">
        <is>
          <t>Abdi, Salman</t>
        </is>
      </c>
      <c r="B19" s="3" t="n">
        <v>46014</v>
      </c>
      <c r="C19" t="inlineStr">
        <is>
          <t>09:00 AM - 11:45 AM</t>
        </is>
      </c>
      <c r="D19" t="inlineStr">
        <is>
          <t>02:45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J19">
        <f>IF(L19="Level 1", VLOOKUP(I19, UserCodes!E:F, 2, FALSE) * H19, IF(L19="Level 2", VLOOKUP(I19, UserCodes!E:F, 2, FALSE) * H19 * 0.8, 0))</f>
        <v/>
      </c>
      <c r="K19" t="inlineStr">
        <is>
          <t>Ahmed, Jama</t>
        </is>
      </c>
      <c r="L19">
        <f>VLOOKUP(K19, UserCodes!A:B, 2, FALSE)</f>
        <v/>
      </c>
      <c r="M19" t="inlineStr">
        <is>
          <t>No schedule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Abdullahi, Abdirahman</t>
        </is>
      </c>
      <c r="B2" s="3" t="n">
        <v>46002</v>
      </c>
      <c r="C2" t="inlineStr">
        <is>
          <t>01:00 PM - 04:00 PM</t>
        </is>
      </c>
      <c r="D2" t="inlineStr">
        <is>
          <t>03:00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O&amp;D 
97155</t>
        </is>
      </c>
      <c r="J2">
        <f>IF(L2="Level 1", VLOOKUP(I2, UserCodes!E:F, 2, FALSE) * H2, IF(L2="Level 2", VLOOKUP(I2, UserCodes!E:F, 2, FALSE) * H2 * 0.8, 0))</f>
        <v/>
      </c>
      <c r="K2" t="inlineStr">
        <is>
          <t>Hawadle, Abdiaziz</t>
        </is>
      </c>
      <c r="L2">
        <f>VLOOKUP(K2, UserCodes!A:B, 2, FALSE)</f>
        <v/>
      </c>
    </row>
    <row r="3">
      <c r="A3" t="inlineStr">
        <is>
          <t>Abdullahi, Abdirahman</t>
        </is>
      </c>
      <c r="B3" s="3" t="n">
        <v>46002</v>
      </c>
      <c r="C3" t="inlineStr">
        <is>
          <t>01:00 PM - 05:00 PM</t>
        </is>
      </c>
      <c r="D3" t="inlineStr">
        <is>
          <t>04:00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1/1 
97153</t>
        </is>
      </c>
      <c r="J3">
        <f>IF(L3="Level 1", VLOOKUP(I3, UserCodes!E:F, 2, FALSE) * H3, IF(L3="Level 2", VLOOKUP(I3, UserCodes!E:F, 2, FALSE) * H3 * 0.8, 0))</f>
        <v/>
      </c>
      <c r="K3" t="inlineStr">
        <is>
          <t>ALI, AMIRA</t>
        </is>
      </c>
      <c r="L3">
        <f>VLOOKUP(K3, UserCodes!A:B, 2, FALSE)</f>
        <v/>
      </c>
    </row>
    <row r="4">
      <c r="A4" t="inlineStr">
        <is>
          <t>Abdullahi, Abdirahman</t>
        </is>
      </c>
      <c r="B4" s="3" t="n">
        <v>46002</v>
      </c>
      <c r="C4" t="inlineStr">
        <is>
          <t>09:30 AM - 11:45 AM</t>
        </is>
      </c>
      <c r="D4" t="inlineStr">
        <is>
          <t>02:15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J4">
        <f>IF(L4="Level 1", VLOOKUP(I4, UserCodes!E:F, 2, FALSE) * H4, IF(L4="Level 2", VLOOKUP(I4, UserCodes!E:F, 2, FALSE) * H4 * 0.8, 0))</f>
        <v/>
      </c>
      <c r="K4" t="inlineStr">
        <is>
          <t>Ahmed, Jama</t>
        </is>
      </c>
      <c r="L4">
        <f>VLOOKUP(K4, UserCodes!A:B, 2, FALSE)</f>
        <v/>
      </c>
      <c r="M4" t="inlineStr">
        <is>
          <t>No schedule</t>
        </is>
      </c>
    </row>
    <row r="5">
      <c r="A5" t="inlineStr">
        <is>
          <t>Abdullahi, Abdirahman</t>
        </is>
      </c>
      <c r="B5" s="3" t="n">
        <v>46003</v>
      </c>
      <c r="C5" t="inlineStr">
        <is>
          <t>12:00 PM - 03:00 PM</t>
        </is>
      </c>
      <c r="D5" t="inlineStr">
        <is>
          <t>03:00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O&amp;D 
97155</t>
        </is>
      </c>
      <c r="J5">
        <f>IF(L5="Level 1", VLOOKUP(I5, UserCodes!E:F, 2, FALSE) * H5, IF(L5="Level 2", VLOOKUP(I5, UserCodes!E:F, 2, FALSE) * H5 * 0.8, 0))</f>
        <v/>
      </c>
      <c r="K5" t="inlineStr">
        <is>
          <t>Hawadle, Abdiaziz</t>
        </is>
      </c>
      <c r="L5">
        <f>VLOOKUP(K5, UserCodes!A:B, 2, FALSE)</f>
        <v/>
      </c>
    </row>
    <row r="6">
      <c r="A6" t="inlineStr">
        <is>
          <t>Abdullahi, Abdirahman</t>
        </is>
      </c>
      <c r="B6" s="3" t="n">
        <v>46003</v>
      </c>
      <c r="C6" t="inlineStr">
        <is>
          <t>12:00 PM - 05:00 PM</t>
        </is>
      </c>
      <c r="D6" t="inlineStr">
        <is>
          <t>05:00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Mohamed, Mohamed</t>
        </is>
      </c>
      <c r="L6">
        <f>VLOOKUP(K6, UserCodes!A:B, 2, FALSE)</f>
        <v/>
      </c>
    </row>
    <row r="7">
      <c r="A7" t="inlineStr">
        <is>
          <t>Abdullahi, Abdirahman</t>
        </is>
      </c>
      <c r="B7" s="3" t="n">
        <v>46005</v>
      </c>
      <c r="C7" t="inlineStr">
        <is>
          <t>12:50 PM - 03:30 PM</t>
        </is>
      </c>
      <c r="D7" t="inlineStr">
        <is>
          <t>02:40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J7">
        <f>IF(L7="Level 1", VLOOKUP(I7, UserCodes!E:F, 2, FALSE) * H7, IF(L7="Level 2", VLOOKUP(I7, UserCodes!E:F, 2, FALSE) * H7 * 0.8, 0))</f>
        <v/>
      </c>
      <c r="K7" t="inlineStr">
        <is>
          <t>Ahmed, Jama</t>
        </is>
      </c>
      <c r="L7">
        <f>VLOOKUP(K7, UserCodes!A:B, 2, FALSE)</f>
        <v/>
      </c>
      <c r="M7" t="inlineStr">
        <is>
          <t>No schedule</t>
        </is>
      </c>
    </row>
    <row r="8">
      <c r="A8" t="inlineStr">
        <is>
          <t>Abdullahi, Abdirahman</t>
        </is>
      </c>
      <c r="B8" s="3" t="n">
        <v>46006</v>
      </c>
      <c r="C8" t="inlineStr">
        <is>
          <t>01:00pm - 04:00pm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O&amp;D 
97155</t>
        </is>
      </c>
      <c r="J8">
        <f>IF(L8="Level 1", VLOOKUP(I8, UserCodes!E:F, 2, FALSE) * H8, IF(L8="Level 2", VLOOKUP(I8, UserCodes!E:F, 2, FALSE) * H8 * 0.8, 0))</f>
        <v/>
      </c>
      <c r="K8" t="inlineStr">
        <is>
          <t>Abdulle, Zamzam</t>
        </is>
      </c>
      <c r="L8">
        <f>VLOOKUP(K8, UserCodes!A:B, 2, FALSE)</f>
        <v/>
      </c>
      <c r="M8" t="inlineStr">
        <is>
          <t>No note</t>
        </is>
      </c>
    </row>
    <row r="9">
      <c r="A9" t="inlineStr">
        <is>
          <t>Abdullahi, Abdirahman</t>
        </is>
      </c>
      <c r="B9" s="3" t="n">
        <v>46006</v>
      </c>
      <c r="C9" t="inlineStr">
        <is>
          <t>04:00 PM - 05:00 PM</t>
        </is>
      </c>
      <c r="D9" t="inlineStr">
        <is>
          <t>01:00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1/1 
97153</t>
        </is>
      </c>
      <c r="J9">
        <f>IF(L9="Level 1", VLOOKUP(I9, UserCodes!E:F, 2, FALSE) * H9, IF(L9="Level 2", VLOOKUP(I9, UserCodes!E:F, 2, FALSE) * H9 * 0.8, 0))</f>
        <v/>
      </c>
      <c r="K9" t="inlineStr">
        <is>
          <t>Hawadle, Abdiaziz</t>
        </is>
      </c>
      <c r="L9">
        <f>VLOOKUP(K9, UserCodes!A:B, 2, FALSE)</f>
        <v/>
      </c>
    </row>
    <row r="10">
      <c r="A10" t="inlineStr">
        <is>
          <t>Abdullahi, Abdirahman</t>
        </is>
      </c>
      <c r="B10" s="3" t="n">
        <v>46006</v>
      </c>
      <c r="C10" t="inlineStr">
        <is>
          <t>01:00 PM - 04:00 PM</t>
        </is>
      </c>
      <c r="D10" t="inlineStr">
        <is>
          <t>03:00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1/1 
97153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Ali, Nasteho</t>
        </is>
      </c>
      <c r="L10">
        <f>VLOOKUP(K10, UserCodes!A:B, 2, FALSE)</f>
        <v/>
      </c>
    </row>
    <row r="11">
      <c r="A11" t="inlineStr">
        <is>
          <t>Abdullahi, Abdirahman</t>
        </is>
      </c>
      <c r="B11" s="3" t="n">
        <v>46007</v>
      </c>
      <c r="C11" t="inlineStr">
        <is>
          <t>01:00 PM - 05:00 PM</t>
        </is>
      </c>
      <c r="D11" t="inlineStr">
        <is>
          <t>04:00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1/1 
97153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Mohamed, Mohamed</t>
        </is>
      </c>
      <c r="L11">
        <f>VLOOKUP(K11, UserCodes!A:B, 2, FALSE)</f>
        <v/>
      </c>
    </row>
    <row r="12">
      <c r="A12" t="inlineStr">
        <is>
          <t>Abdullahi, Abdirahman</t>
        </is>
      </c>
      <c r="B12" s="3" t="n">
        <v>46007</v>
      </c>
      <c r="C12" t="inlineStr">
        <is>
          <t>01:00 PM - 04:00 PM</t>
        </is>
      </c>
      <c r="D12" t="inlineStr">
        <is>
          <t>03:00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O&amp;D 
97155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Hawadle, Abdiaziz</t>
        </is>
      </c>
      <c r="L12">
        <f>VLOOKUP(K12, UserCodes!A:B, 2, FALSE)</f>
        <v/>
      </c>
    </row>
    <row r="13">
      <c r="A13" t="inlineStr">
        <is>
          <t>Abdullahi, Abdirahman</t>
        </is>
      </c>
      <c r="B13" s="3" t="n">
        <v>46008</v>
      </c>
      <c r="C13" t="inlineStr">
        <is>
          <t>01:00pm - 04:00pm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1/1 
97153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Ali, Nasteho</t>
        </is>
      </c>
      <c r="L13">
        <f>VLOOKUP(K13, UserCodes!A:B, 2, FALSE)</f>
        <v/>
      </c>
      <c r="M13" t="inlineStr">
        <is>
          <t>No note</t>
        </is>
      </c>
    </row>
    <row r="14">
      <c r="A14" t="inlineStr">
        <is>
          <t>Abdullahi, Abdirahman</t>
        </is>
      </c>
      <c r="B14" s="3" t="n">
        <v>46008</v>
      </c>
      <c r="C14" t="inlineStr">
        <is>
          <t>01:00 PM - 05:00 PM</t>
        </is>
      </c>
      <c r="D14" t="inlineStr">
        <is>
          <t>04:00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1/1 
97153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Hawadle, Abdiaziz</t>
        </is>
      </c>
      <c r="L14">
        <f>VLOOKUP(K14, UserCodes!A:B, 2, FALSE)</f>
        <v/>
      </c>
    </row>
    <row r="15">
      <c r="A15" t="inlineStr">
        <is>
          <t>Abdullahi, Abdirahman</t>
        </is>
      </c>
      <c r="B15" s="3" t="n">
        <v>46008</v>
      </c>
      <c r="C15" t="inlineStr">
        <is>
          <t>12:45 PM - 02:50 PM</t>
        </is>
      </c>
      <c r="D15" t="inlineStr">
        <is>
          <t>02:05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J15">
        <f>IF(L15="Level 1", VLOOKUP(I15, UserCodes!E:F, 2, FALSE) * H15, IF(L15="Level 2", VLOOKUP(I15, UserCodes!E:F, 2, FALSE) * H15 * 0.8, 0))</f>
        <v/>
      </c>
      <c r="K15" t="inlineStr">
        <is>
          <t>Ahmed, Jama</t>
        </is>
      </c>
      <c r="L15">
        <f>VLOOKUP(K15, UserCodes!A:B, 2, FALSE)</f>
        <v/>
      </c>
      <c r="M15" t="inlineStr">
        <is>
          <t>No schedule</t>
        </is>
      </c>
    </row>
    <row r="16">
      <c r="A16" t="inlineStr">
        <is>
          <t>Abdullahi, Abdirahman</t>
        </is>
      </c>
      <c r="B16" s="3" t="n">
        <v>46009</v>
      </c>
      <c r="C16" t="inlineStr">
        <is>
          <t>01:00 PM - 05:00 PM</t>
        </is>
      </c>
      <c r="D16" t="inlineStr">
        <is>
          <t>04:00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1/1 
97153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Omar, Mohamed</t>
        </is>
      </c>
      <c r="L16">
        <f>VLOOKUP(K16, UserCodes!A:B, 2, FALSE)</f>
        <v/>
      </c>
    </row>
    <row r="17">
      <c r="A17" t="inlineStr">
        <is>
          <t>Abdullahi, Abdirahman</t>
        </is>
      </c>
      <c r="B17" s="3" t="n">
        <v>46009</v>
      </c>
      <c r="C17" t="inlineStr">
        <is>
          <t>01:00 PM - 05:00 PM</t>
        </is>
      </c>
      <c r="D17" t="inlineStr">
        <is>
          <t>04:00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O&amp;D 
97155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Hawadle, Abdiaziz</t>
        </is>
      </c>
      <c r="L17">
        <f>VLOOKUP(K17, UserCodes!A:B, 2, FALSE)</f>
        <v/>
      </c>
    </row>
    <row r="18">
      <c r="A18" t="inlineStr">
        <is>
          <t>Abdullahi, Abdirahman</t>
        </is>
      </c>
      <c r="B18" s="3" t="n">
        <v>46010</v>
      </c>
      <c r="C18" t="inlineStr">
        <is>
          <t>12:00 PM - 05:00 PM</t>
        </is>
      </c>
      <c r="D18" t="inlineStr">
        <is>
          <t>05:00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Omar, Mohamed</t>
        </is>
      </c>
      <c r="L18">
        <f>VLOOKUP(K18, UserCodes!A:B, 2, FALSE)</f>
        <v/>
      </c>
    </row>
    <row r="19">
      <c r="A19" t="inlineStr">
        <is>
          <t>Abdullahi, Abdirahman</t>
        </is>
      </c>
      <c r="B19" s="3" t="n">
        <v>46013</v>
      </c>
      <c r="C19" t="inlineStr">
        <is>
          <t>10:30 AM - 05:00 PM</t>
        </is>
      </c>
      <c r="D19" t="inlineStr">
        <is>
          <t>06:30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1/1 
97153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Ran, Sameya</t>
        </is>
      </c>
      <c r="L19">
        <f>VLOOKUP(K19, UserCodes!A:B, 2, FALSE)</f>
        <v/>
      </c>
    </row>
    <row r="20">
      <c r="A20" t="inlineStr">
        <is>
          <t>Abdullahi, Abdirahman</t>
        </is>
      </c>
      <c r="B20" s="3" t="n">
        <v>46013</v>
      </c>
      <c r="C20" t="inlineStr">
        <is>
          <t>10:30 AM - 01:30 PM</t>
        </is>
      </c>
      <c r="D20" t="inlineStr">
        <is>
          <t>03:00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I20" t="inlineStr">
        <is>
          <t>O&amp;D 
97155</t>
        </is>
      </c>
      <c r="J20">
        <f>IF(L20="Level 1", VLOOKUP(I20, UserCodes!E:F, 2, FALSE) * H20, IF(L20="Level 2", VLOOKUP(I20, UserCodes!E:F, 2, FALSE) * H20 * 0.8, 0))</f>
        <v/>
      </c>
      <c r="K20" t="inlineStr">
        <is>
          <t>Muse, Ayni</t>
        </is>
      </c>
      <c r="L20">
        <f>VLOOKUP(K20, UserCodes!A:B, 2, FALSE)</f>
        <v/>
      </c>
    </row>
    <row r="21">
      <c r="A21" t="inlineStr">
        <is>
          <t>Abdullahi, Abdirahman</t>
        </is>
      </c>
      <c r="B21" s="3" t="n">
        <v>46014</v>
      </c>
      <c r="C21" t="inlineStr">
        <is>
          <t>01:30pm - 03:00pm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I21" t="inlineStr">
        <is>
          <t>1/1 
97153</t>
        </is>
      </c>
      <c r="J21">
        <f>IF(L21="Level 1", VLOOKUP(I21, UserCodes!E:F, 2, FALSE) * H21, IF(L21="Level 2", VLOOKUP(I21, UserCodes!E:F, 2, FALSE) * H21 * 0.8, 0))</f>
        <v/>
      </c>
      <c r="K21" t="inlineStr">
        <is>
          <t>Ibrahim, Ahmed</t>
        </is>
      </c>
      <c r="L21">
        <f>VLOOKUP(K21, UserCodes!A:B, 2, FALSE)</f>
        <v/>
      </c>
      <c r="M21" t="inlineStr">
        <is>
          <t>No note</t>
        </is>
      </c>
    </row>
    <row r="22">
      <c r="A22" t="inlineStr">
        <is>
          <t>Abdullahi, Abdirahman</t>
        </is>
      </c>
      <c r="B22" s="3" t="n">
        <v>46014</v>
      </c>
      <c r="C22" t="inlineStr">
        <is>
          <t>01:00pm - 01:30pm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I22" t="inlineStr">
        <is>
          <t>1/1 
97153</t>
        </is>
      </c>
      <c r="J22">
        <f>IF(L22="Level 1", VLOOKUP(I22, UserCodes!E:F, 2, FALSE) * H22, IF(L22="Level 2", VLOOKUP(I22, UserCodes!E:F, 2, FALSE) * H22 * 0.8, 0))</f>
        <v/>
      </c>
      <c r="K22" t="inlineStr">
        <is>
          <t>Ibrahim, Ahmed</t>
        </is>
      </c>
      <c r="L22">
        <f>VLOOKUP(K22, UserCodes!A:B, 2, FALSE)</f>
        <v/>
      </c>
      <c r="M22" t="inlineStr">
        <is>
          <t>No note</t>
        </is>
      </c>
    </row>
    <row r="23">
      <c r="A23" t="inlineStr">
        <is>
          <t>Abdullahi, Abdirahman</t>
        </is>
      </c>
      <c r="B23" s="3" t="n">
        <v>46014</v>
      </c>
      <c r="C23" t="inlineStr">
        <is>
          <t>11:00 AM - 05:00 PM</t>
        </is>
      </c>
      <c r="D23" t="inlineStr">
        <is>
          <t>06:00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I23" t="inlineStr">
        <is>
          <t>1/1 
97153</t>
        </is>
      </c>
      <c r="J23">
        <f>IF(L23="Level 1", VLOOKUP(I23, UserCodes!E:F, 2, FALSE) * H23, IF(L23="Level 2", VLOOKUP(I23, UserCodes!E:F, 2, FALSE) * H23 * 0.8, 0))</f>
        <v/>
      </c>
      <c r="K23" t="inlineStr">
        <is>
          <t>Ali, Naima</t>
        </is>
      </c>
      <c r="L23">
        <f>VLOOKUP(K23, UserCodes!A:B, 2, FALSE)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Ali, Saami</t>
        </is>
      </c>
      <c r="B2" s="3" t="n">
        <v>46002</v>
      </c>
      <c r="C2" t="inlineStr">
        <is>
          <t>05:00 PM - 08:00 PM</t>
        </is>
      </c>
      <c r="D2" t="inlineStr">
        <is>
          <t>03:00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O&amp;D 
97155</t>
        </is>
      </c>
      <c r="J2">
        <f>IF(L2="Level 1", VLOOKUP(I2, UserCodes!E:F, 2, FALSE) * H2, IF(L2="Level 2", VLOOKUP(I2, UserCodes!E:F, 2, FALSE) * H2 * 0.8, 0))</f>
        <v/>
      </c>
      <c r="K2" t="inlineStr">
        <is>
          <t>Ibrahim, Ahmed</t>
        </is>
      </c>
      <c r="L2">
        <f>VLOOKUP(K2, UserCodes!A:B, 2, FALSE)</f>
        <v/>
      </c>
    </row>
    <row r="3">
      <c r="A3" t="inlineStr">
        <is>
          <t>Ali, Saami</t>
        </is>
      </c>
      <c r="B3" s="3" t="n">
        <v>46002</v>
      </c>
      <c r="C3" t="inlineStr">
        <is>
          <t>03:50 PM - 08:00 PM</t>
        </is>
      </c>
      <c r="D3" t="inlineStr">
        <is>
          <t>04:10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1/1 
97153</t>
        </is>
      </c>
      <c r="J3">
        <f>IF(L3="Level 1", VLOOKUP(I3, UserCodes!E:F, 2, FALSE) * H3, IF(L3="Level 2", VLOOKUP(I3, UserCodes!E:F, 2, FALSE) * H3 * 0.8, 0))</f>
        <v/>
      </c>
      <c r="K3" t="inlineStr">
        <is>
          <t>Muse, Aaliya</t>
        </is>
      </c>
      <c r="L3">
        <f>VLOOKUP(K3, UserCodes!A:B, 2, FALSE)</f>
        <v/>
      </c>
    </row>
    <row r="4">
      <c r="A4" t="inlineStr">
        <is>
          <t>Ali, Saami</t>
        </is>
      </c>
      <c r="B4" s="3" t="n">
        <v>46003</v>
      </c>
      <c r="C4" t="inlineStr">
        <is>
          <t>06:15 PM - 08:00 PM</t>
        </is>
      </c>
      <c r="D4" t="inlineStr">
        <is>
          <t>01:45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O&amp;D 
97155</t>
        </is>
      </c>
      <c r="J4">
        <f>IF(L4="Level 1", VLOOKUP(I4, UserCodes!E:F, 2, FALSE) * H4, IF(L4="Level 2", VLOOKUP(I4, UserCodes!E:F, 2, FALSE) * H4 * 0.8, 0))</f>
        <v/>
      </c>
      <c r="K4" t="inlineStr">
        <is>
          <t>Muse, Adna</t>
        </is>
      </c>
      <c r="L4">
        <f>VLOOKUP(K4, UserCodes!A:B, 2, FALSE)</f>
        <v/>
      </c>
    </row>
    <row r="5">
      <c r="A5" t="inlineStr">
        <is>
          <t>Ali, Saami</t>
        </is>
      </c>
      <c r="B5" s="3" t="n">
        <v>46003</v>
      </c>
      <c r="C5" t="inlineStr">
        <is>
          <t>03:00 PM - 08:00 PM</t>
        </is>
      </c>
      <c r="D5" t="inlineStr">
        <is>
          <t>05:00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1/1 
97153</t>
        </is>
      </c>
      <c r="J5">
        <f>IF(L5="Level 1", VLOOKUP(I5, UserCodes!E:F, 2, FALSE) * H5, IF(L5="Level 2", VLOOKUP(I5, UserCodes!E:F, 2, FALSE) * H5 * 0.8, 0))</f>
        <v/>
      </c>
      <c r="K5" t="inlineStr">
        <is>
          <t>Muse, Aaliya</t>
        </is>
      </c>
      <c r="L5">
        <f>VLOOKUP(K5, UserCodes!A:B, 2, FALSE)</f>
        <v/>
      </c>
    </row>
    <row r="6">
      <c r="A6" t="inlineStr">
        <is>
          <t>Ali, Saami</t>
        </is>
      </c>
      <c r="B6" s="3" t="n">
        <v>46006</v>
      </c>
      <c r="C6" t="inlineStr">
        <is>
          <t>03:15 PM - 08:00 PM</t>
        </is>
      </c>
      <c r="D6" t="inlineStr">
        <is>
          <t>04:45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Muse, Aaliya</t>
        </is>
      </c>
      <c r="L6">
        <f>VLOOKUP(K6, UserCodes!A:B, 2, FALSE)</f>
        <v/>
      </c>
    </row>
    <row r="7">
      <c r="A7" t="inlineStr">
        <is>
          <t>Ali, Saami</t>
        </is>
      </c>
      <c r="B7" s="3" t="n">
        <v>46006</v>
      </c>
      <c r="C7" t="inlineStr">
        <is>
          <t>06:00 PM - 07:00 PM</t>
        </is>
      </c>
      <c r="D7" t="inlineStr">
        <is>
          <t>01:00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O&amp;D 
97155</t>
        </is>
      </c>
      <c r="J7">
        <f>IF(L7="Level 1", VLOOKUP(I7, UserCodes!E:F, 2, FALSE) * H7, IF(L7="Level 2", VLOOKUP(I7, UserCodes!E:F, 2, FALSE) * H7 * 0.8, 0))</f>
        <v/>
      </c>
      <c r="K7" t="inlineStr">
        <is>
          <t>Barqab, Mushtaq</t>
        </is>
      </c>
      <c r="L7">
        <f>VLOOKUP(K7, UserCodes!A:B, 2, FALSE)</f>
        <v/>
      </c>
    </row>
    <row r="8">
      <c r="A8" t="inlineStr">
        <is>
          <t>Ali, Saami</t>
        </is>
      </c>
      <c r="B8" s="3" t="n">
        <v>46007</v>
      </c>
      <c r="C8" t="inlineStr">
        <is>
          <t>03:30 PM - 08:00 PM</t>
        </is>
      </c>
      <c r="D8" t="inlineStr">
        <is>
          <t>04:30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1/1 
97153</t>
        </is>
      </c>
      <c r="J8">
        <f>IF(L8="Level 1", VLOOKUP(I8, UserCodes!E:F, 2, FALSE) * H8, IF(L8="Level 2", VLOOKUP(I8, UserCodes!E:F, 2, FALSE) * H8 * 0.8, 0))</f>
        <v/>
      </c>
      <c r="K8" t="inlineStr">
        <is>
          <t>Muse, Aaliya</t>
        </is>
      </c>
      <c r="L8">
        <f>VLOOKUP(K8, UserCodes!A:B, 2, FALSE)</f>
        <v/>
      </c>
    </row>
    <row r="9">
      <c r="A9" t="inlineStr">
        <is>
          <t>Ali, Saami</t>
        </is>
      </c>
      <c r="B9" s="3" t="n">
        <v>46008</v>
      </c>
      <c r="C9" t="inlineStr">
        <is>
          <t>03:20 PM - 08:00 PM</t>
        </is>
      </c>
      <c r="D9" t="inlineStr">
        <is>
          <t>04:40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1/1 
97153</t>
        </is>
      </c>
      <c r="J9">
        <f>IF(L9="Level 1", VLOOKUP(I9, UserCodes!E:F, 2, FALSE) * H9, IF(L9="Level 2", VLOOKUP(I9, UserCodes!E:F, 2, FALSE) * H9 * 0.8, 0))</f>
        <v/>
      </c>
      <c r="K9" t="inlineStr">
        <is>
          <t>Muse, Aaliya</t>
        </is>
      </c>
      <c r="L9">
        <f>VLOOKUP(K9, UserCodes!A:B, 2, FALSE)</f>
        <v/>
      </c>
    </row>
    <row r="10">
      <c r="A10" t="inlineStr">
        <is>
          <t>Ali, Saami</t>
        </is>
      </c>
      <c r="B10" s="3" t="n">
        <v>46009</v>
      </c>
      <c r="C10" t="inlineStr">
        <is>
          <t>03:00 PM - 08:00 PM</t>
        </is>
      </c>
      <c r="D10" t="inlineStr">
        <is>
          <t>05:00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1/1 
97153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Muse, Aaliya</t>
        </is>
      </c>
      <c r="L10">
        <f>VLOOKUP(K10, UserCodes!A:B, 2, FALSE)</f>
        <v/>
      </c>
    </row>
    <row r="11">
      <c r="A11" t="inlineStr">
        <is>
          <t>Ali, Saami</t>
        </is>
      </c>
      <c r="B11" s="3" t="n">
        <v>46010</v>
      </c>
      <c r="C11" t="inlineStr">
        <is>
          <t>03:30 PM - 07:40 PM</t>
        </is>
      </c>
      <c r="D11" t="inlineStr">
        <is>
          <t>04:10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1/1 
97153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Muse, Aaliya</t>
        </is>
      </c>
      <c r="L11">
        <f>VLOOKUP(K11, UserCodes!A:B, 2, FALSE)</f>
        <v/>
      </c>
    </row>
    <row r="12">
      <c r="A12" t="inlineStr">
        <is>
          <t>Ali, Saami</t>
        </is>
      </c>
      <c r="B12" s="3" t="n">
        <v>46011</v>
      </c>
      <c r="C12" t="inlineStr">
        <is>
          <t>04:00pm - 06:00pm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O&amp;D 
97155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Ibrahim, Ahmed</t>
        </is>
      </c>
      <c r="L12">
        <f>VLOOKUP(K12, UserCodes!A:B, 2, FALSE)</f>
        <v/>
      </c>
      <c r="M12" t="inlineStr">
        <is>
          <t>No note</t>
        </is>
      </c>
    </row>
    <row r="13">
      <c r="A13" t="inlineStr">
        <is>
          <t>Ali, Saami</t>
        </is>
      </c>
      <c r="B13" s="3" t="n">
        <v>46011</v>
      </c>
      <c r="C13" t="inlineStr">
        <is>
          <t>10:40 AM - 06:00 PM</t>
        </is>
      </c>
      <c r="D13" t="inlineStr">
        <is>
          <t>07:20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1/1 
97153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Muse, Aaliya</t>
        </is>
      </c>
      <c r="L13">
        <f>VLOOKUP(K13, UserCodes!A:B, 2, FALSE)</f>
        <v/>
      </c>
    </row>
    <row r="14">
      <c r="A14" t="inlineStr">
        <is>
          <t>Ali, Saami</t>
        </is>
      </c>
      <c r="B14" s="3" t="n">
        <v>46013</v>
      </c>
      <c r="C14" t="inlineStr">
        <is>
          <t>03:00 PM - 08:00 PM</t>
        </is>
      </c>
      <c r="D14" t="inlineStr">
        <is>
          <t>05:00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1/1 
97153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Muse, Aaliya</t>
        </is>
      </c>
      <c r="L14">
        <f>VLOOKUP(K14, UserCodes!A:B, 2, FALSE)</f>
        <v/>
      </c>
    </row>
    <row r="15">
      <c r="A15" t="inlineStr">
        <is>
          <t>Ali, Saami</t>
        </is>
      </c>
      <c r="B15" s="3" t="n">
        <v>46014</v>
      </c>
      <c r="C15" t="inlineStr">
        <is>
          <t>12:30 PM - 08:00 PM</t>
        </is>
      </c>
      <c r="D15" t="inlineStr">
        <is>
          <t>07:30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1/1 
97153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Muse, Aaliya</t>
        </is>
      </c>
      <c r="L15">
        <f>VLOOKUP(K15, UserCodes!A:B, 2, FALSE)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Abdi, Safia</t>
        </is>
      </c>
      <c r="B2" s="3" t="n">
        <v>46002</v>
      </c>
      <c r="C2" t="inlineStr">
        <is>
          <t>05:00 PM - 08:00 PM</t>
        </is>
      </c>
      <c r="D2" t="inlineStr">
        <is>
          <t>03:00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O&amp;D 
97155</t>
        </is>
      </c>
      <c r="J2">
        <f>IF(L2="Level 1", VLOOKUP(I2, UserCodes!E:F, 2, FALSE) * H2, IF(L2="Level 2", VLOOKUP(I2, UserCodes!E:F, 2, FALSE) * H2 * 0.8, 0))</f>
        <v/>
      </c>
      <c r="K2" t="inlineStr">
        <is>
          <t>Muse, Adna</t>
        </is>
      </c>
      <c r="L2">
        <f>VLOOKUP(K2, UserCodes!A:B, 2, FALSE)</f>
        <v/>
      </c>
    </row>
    <row r="3">
      <c r="A3" t="inlineStr">
        <is>
          <t>Abdi, Safia</t>
        </is>
      </c>
      <c r="B3" s="3" t="n">
        <v>46002</v>
      </c>
      <c r="C3" t="inlineStr">
        <is>
          <t>03:00 PM - 08:00 PM</t>
        </is>
      </c>
      <c r="D3" t="inlineStr">
        <is>
          <t>05:00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1/1 
97153</t>
        </is>
      </c>
      <c r="J3">
        <f>IF(L3="Level 1", VLOOKUP(I3, UserCodes!E:F, 2, FALSE) * H3, IF(L3="Level 2", VLOOKUP(I3, UserCodes!E:F, 2, FALSE) * H3 * 0.8, 0))</f>
        <v/>
      </c>
      <c r="K3" t="inlineStr">
        <is>
          <t>Muse, Ayni</t>
        </is>
      </c>
      <c r="L3">
        <f>VLOOKUP(K3, UserCodes!A:B, 2, FALSE)</f>
        <v/>
      </c>
    </row>
    <row r="4">
      <c r="A4" t="inlineStr">
        <is>
          <t>Abdi, Safia</t>
        </is>
      </c>
      <c r="B4" s="3" t="n">
        <v>46002</v>
      </c>
      <c r="C4" t="inlineStr">
        <is>
          <t>01:28 PM - 03:50 PM</t>
        </is>
      </c>
      <c r="D4" t="inlineStr">
        <is>
          <t>02:22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J4">
        <f>IF(L4="Level 1", VLOOKUP(I4, UserCodes!E:F, 2, FALSE) * H4, IF(L4="Level 2", VLOOKUP(I4, UserCodes!E:F, 2, FALSE) * H4 * 0.8, 0))</f>
        <v/>
      </c>
      <c r="K4" t="inlineStr">
        <is>
          <t>Ahmed, Jama</t>
        </is>
      </c>
      <c r="L4">
        <f>VLOOKUP(K4, UserCodes!A:B, 2, FALSE)</f>
        <v/>
      </c>
      <c r="M4" t="inlineStr">
        <is>
          <t>No schedule</t>
        </is>
      </c>
    </row>
    <row r="5">
      <c r="A5" t="inlineStr">
        <is>
          <t>Abdi, Safia</t>
        </is>
      </c>
      <c r="B5" s="3" t="n">
        <v>46003</v>
      </c>
      <c r="C5" t="inlineStr">
        <is>
          <t>03:30 PM - 06:15 PM</t>
        </is>
      </c>
      <c r="D5" t="inlineStr">
        <is>
          <t>02:45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O&amp;D 
97155</t>
        </is>
      </c>
      <c r="J5">
        <f>IF(L5="Level 1", VLOOKUP(I5, UserCodes!E:F, 2, FALSE) * H5, IF(L5="Level 2", VLOOKUP(I5, UserCodes!E:F, 2, FALSE) * H5 * 0.8, 0))</f>
        <v/>
      </c>
      <c r="K5" t="inlineStr">
        <is>
          <t>Muse, Adna</t>
        </is>
      </c>
      <c r="L5">
        <f>VLOOKUP(K5, UserCodes!A:B, 2, FALSE)</f>
        <v/>
      </c>
    </row>
    <row r="6">
      <c r="A6" t="inlineStr">
        <is>
          <t>Abdi, Safia</t>
        </is>
      </c>
      <c r="B6" s="3" t="n">
        <v>46003</v>
      </c>
      <c r="C6" t="inlineStr">
        <is>
          <t>03:30 PM - 08:00 PM</t>
        </is>
      </c>
      <c r="D6" t="inlineStr">
        <is>
          <t>04:30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Muse, Nawaal</t>
        </is>
      </c>
      <c r="L6">
        <f>VLOOKUP(K6, UserCodes!A:B, 2, FALSE)</f>
        <v/>
      </c>
    </row>
    <row r="7">
      <c r="A7" t="inlineStr">
        <is>
          <t>Abdi, Safia</t>
        </is>
      </c>
      <c r="B7" s="3" t="n">
        <v>46003</v>
      </c>
      <c r="C7" t="inlineStr">
        <is>
          <t>04:00 PM - 05:00 PM</t>
        </is>
      </c>
      <c r="D7" t="inlineStr">
        <is>
          <t>01:00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J7">
        <f>IF(L7="Level 1", VLOOKUP(I7, UserCodes!E:F, 2, FALSE) * H7, IF(L7="Level 2", VLOOKUP(I7, UserCodes!E:F, 2, FALSE) * H7 * 0.8, 0))</f>
        <v/>
      </c>
      <c r="K7" t="inlineStr">
        <is>
          <t>El-Tay, Dr. Ismael</t>
        </is>
      </c>
      <c r="L7">
        <f>VLOOKUP(K7, UserCodes!A:B, 2, FALSE)</f>
        <v/>
      </c>
      <c r="M7" t="inlineStr">
        <is>
          <t>No schedule</t>
        </is>
      </c>
    </row>
    <row r="8">
      <c r="A8" t="inlineStr">
        <is>
          <t>Abdi, Safia</t>
        </is>
      </c>
      <c r="B8" s="3" t="n">
        <v>46004</v>
      </c>
      <c r="C8" t="inlineStr">
        <is>
          <t>09:00 AM - 11:30 AM</t>
        </is>
      </c>
      <c r="D8" t="inlineStr">
        <is>
          <t>02:30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J8">
        <f>IF(L8="Level 1", VLOOKUP(I8, UserCodes!E:F, 2, FALSE) * H8, IF(L8="Level 2", VLOOKUP(I8, UserCodes!E:F, 2, FALSE) * H8 * 0.8, 0))</f>
        <v/>
      </c>
      <c r="K8" t="inlineStr">
        <is>
          <t>Ahmed, Jama</t>
        </is>
      </c>
      <c r="L8">
        <f>VLOOKUP(K8, UserCodes!A:B, 2, FALSE)</f>
        <v/>
      </c>
      <c r="M8" t="inlineStr">
        <is>
          <t>No schedule</t>
        </is>
      </c>
    </row>
    <row r="9">
      <c r="A9" t="inlineStr">
        <is>
          <t>Abdi, Safia</t>
        </is>
      </c>
      <c r="B9" s="3" t="n">
        <v>46004</v>
      </c>
      <c r="C9" t="inlineStr">
        <is>
          <t>10:00 AM - 03:00 PM</t>
        </is>
      </c>
      <c r="D9" t="inlineStr">
        <is>
          <t>05:00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O&amp;D 
97155</t>
        </is>
      </c>
      <c r="J9">
        <f>IF(L9="Level 1", VLOOKUP(I9, UserCodes!E:F, 2, FALSE) * H9, IF(L9="Level 2", VLOOKUP(I9, UserCodes!E:F, 2, FALSE) * H9 * 0.8, 0))</f>
        <v/>
      </c>
      <c r="K9" t="inlineStr">
        <is>
          <t>Osman, Basra</t>
        </is>
      </c>
      <c r="L9">
        <f>VLOOKUP(K9, UserCodes!A:B, 2, FALSE)</f>
        <v/>
      </c>
    </row>
    <row r="10">
      <c r="A10" t="inlineStr">
        <is>
          <t>Abdi, Safia</t>
        </is>
      </c>
      <c r="B10" s="3" t="n">
        <v>46004</v>
      </c>
      <c r="C10" t="inlineStr">
        <is>
          <t>03:00 PM - 06:00 PM</t>
        </is>
      </c>
      <c r="D10" t="inlineStr">
        <is>
          <t>03:00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O&amp;D 
97155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Osman, Basra</t>
        </is>
      </c>
      <c r="L10">
        <f>VLOOKUP(K10, UserCodes!A:B, 2, FALSE)</f>
        <v/>
      </c>
    </row>
    <row r="11">
      <c r="A11" t="inlineStr">
        <is>
          <t>Abdi, Safia</t>
        </is>
      </c>
      <c r="B11" s="3" t="n">
        <v>46004</v>
      </c>
      <c r="C11" t="inlineStr">
        <is>
          <t>03:00 PM - 06:00 PM</t>
        </is>
      </c>
      <c r="D11" t="inlineStr">
        <is>
          <t>03:00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1/1 
97153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Muse, Ayni</t>
        </is>
      </c>
      <c r="L11">
        <f>VLOOKUP(K11, UserCodes!A:B, 2, FALSE)</f>
        <v/>
      </c>
    </row>
    <row r="12">
      <c r="A12" t="inlineStr">
        <is>
          <t>Abdi, Safia</t>
        </is>
      </c>
      <c r="B12" s="3" t="n">
        <v>46006</v>
      </c>
      <c r="C12" t="inlineStr">
        <is>
          <t>03:15 PM - 08:00 PM</t>
        </is>
      </c>
      <c r="D12" t="inlineStr">
        <is>
          <t>04:45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1/1 
97153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Muse, Nawaal</t>
        </is>
      </c>
      <c r="L12">
        <f>VLOOKUP(K12, UserCodes!A:B, 2, FALSE)</f>
        <v/>
      </c>
    </row>
    <row r="13">
      <c r="A13" t="inlineStr">
        <is>
          <t>Abdi, Safia</t>
        </is>
      </c>
      <c r="B13" s="3" t="n">
        <v>46006</v>
      </c>
      <c r="C13" t="inlineStr">
        <is>
          <t>04:00 PM - 07:00 PM</t>
        </is>
      </c>
      <c r="D13" t="inlineStr">
        <is>
          <t>03:00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O&amp;D 
97155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Muse, Adna</t>
        </is>
      </c>
      <c r="L13">
        <f>VLOOKUP(K13, UserCodes!A:B, 2, FALSE)</f>
        <v/>
      </c>
    </row>
    <row r="14">
      <c r="A14" t="inlineStr">
        <is>
          <t>Abdi, Safia</t>
        </is>
      </c>
      <c r="B14" s="3" t="n">
        <v>46007</v>
      </c>
      <c r="C14" t="inlineStr">
        <is>
          <t>03:00 PM - 04:00 PM</t>
        </is>
      </c>
      <c r="D14" t="inlineStr">
        <is>
          <t>01:00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O&amp;D 
97155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Noor, Kamilo</t>
        </is>
      </c>
      <c r="L14">
        <f>VLOOKUP(K14, UserCodes!A:B, 2, FALSE)</f>
        <v/>
      </c>
    </row>
    <row r="15">
      <c r="A15" t="inlineStr">
        <is>
          <t>Abdi, Safia</t>
        </is>
      </c>
      <c r="B15" s="3" t="n">
        <v>46007</v>
      </c>
      <c r="C15" t="inlineStr">
        <is>
          <t>04:00 PM - 08:00 PM</t>
        </is>
      </c>
      <c r="D15" t="inlineStr">
        <is>
          <t>04:00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1/1 
97153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Barqab, Mushtaq</t>
        </is>
      </c>
      <c r="L15">
        <f>VLOOKUP(K15, UserCodes!A:B, 2, FALSE)</f>
        <v/>
      </c>
    </row>
    <row r="16">
      <c r="A16" t="inlineStr">
        <is>
          <t>Abdi, Safia</t>
        </is>
      </c>
      <c r="B16" s="3" t="n">
        <v>46007</v>
      </c>
      <c r="C16" t="inlineStr">
        <is>
          <t>04:00 PM - 07:00 PM</t>
        </is>
      </c>
      <c r="D16" t="inlineStr">
        <is>
          <t>03:00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O&amp;D 
97155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Noor, Kamilo</t>
        </is>
      </c>
      <c r="L16">
        <f>VLOOKUP(K16, UserCodes!A:B, 2, FALSE)</f>
        <v/>
      </c>
    </row>
    <row r="17">
      <c r="A17" t="inlineStr">
        <is>
          <t>Abdi, Safia</t>
        </is>
      </c>
      <c r="B17" s="3" t="n">
        <v>46008</v>
      </c>
      <c r="C17" t="inlineStr">
        <is>
          <t>09:45 AM - 11:30 AM</t>
        </is>
      </c>
      <c r="D17" t="inlineStr">
        <is>
          <t>01:45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J17">
        <f>IF(L17="Level 1", VLOOKUP(I17, UserCodes!E:F, 2, FALSE) * H17, IF(L17="Level 2", VLOOKUP(I17, UserCodes!E:F, 2, FALSE) * H17 * 0.8, 0))</f>
        <v/>
      </c>
      <c r="K17" t="inlineStr">
        <is>
          <t>Ahmed, Jama</t>
        </is>
      </c>
      <c r="L17">
        <f>VLOOKUP(K17, UserCodes!A:B, 2, FALSE)</f>
        <v/>
      </c>
      <c r="M17" t="inlineStr">
        <is>
          <t>No schedule</t>
        </is>
      </c>
    </row>
    <row r="18">
      <c r="A18" t="inlineStr">
        <is>
          <t>Abdi, Safia</t>
        </is>
      </c>
      <c r="B18" s="3" t="n">
        <v>46008</v>
      </c>
      <c r="C18" t="inlineStr">
        <is>
          <t>03:15 PM - 08:00 PM</t>
        </is>
      </c>
      <c r="D18" t="inlineStr">
        <is>
          <t>04:45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Ali, Naima</t>
        </is>
      </c>
      <c r="L18">
        <f>VLOOKUP(K18, UserCodes!A:B, 2, FALSE)</f>
        <v/>
      </c>
    </row>
    <row r="19">
      <c r="A19" t="inlineStr">
        <is>
          <t>Abdi, Safia</t>
        </is>
      </c>
      <c r="B19" s="3" t="n">
        <v>46008</v>
      </c>
      <c r="C19" t="inlineStr">
        <is>
          <t>05:00 PM - 08:00 PM</t>
        </is>
      </c>
      <c r="D19" t="inlineStr">
        <is>
          <t>03:00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O&amp;D 
97155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Noor, Kamilo</t>
        </is>
      </c>
      <c r="L19">
        <f>VLOOKUP(K19, UserCodes!A:B, 2, FALSE)</f>
        <v/>
      </c>
    </row>
    <row r="20">
      <c r="A20" t="inlineStr">
        <is>
          <t>Abdi, Safia</t>
        </is>
      </c>
      <c r="B20" s="3" t="n">
        <v>46009</v>
      </c>
      <c r="C20" t="inlineStr">
        <is>
          <t>03:30 PM - 08:00 PM</t>
        </is>
      </c>
      <c r="D20" t="inlineStr">
        <is>
          <t>04:30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I20" t="inlineStr">
        <is>
          <t>1/1 
97153</t>
        </is>
      </c>
      <c r="J20">
        <f>IF(L20="Level 1", VLOOKUP(I20, UserCodes!E:F, 2, FALSE) * H20, IF(L20="Level 2", VLOOKUP(I20, UserCodes!E:F, 2, FALSE) * H20 * 0.8, 0))</f>
        <v/>
      </c>
      <c r="K20" t="inlineStr">
        <is>
          <t>Mohamed, Samsam</t>
        </is>
      </c>
      <c r="L20">
        <f>VLOOKUP(K20, UserCodes!A:B, 2, FALSE)</f>
        <v/>
      </c>
    </row>
    <row r="21">
      <c r="A21" t="inlineStr">
        <is>
          <t>Abdi, Safia</t>
        </is>
      </c>
      <c r="B21" s="3" t="n">
        <v>46009</v>
      </c>
      <c r="C21" t="inlineStr">
        <is>
          <t>06:00 PM - 08:00 PM</t>
        </is>
      </c>
      <c r="D21" t="inlineStr">
        <is>
          <t>02:00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I21" t="inlineStr">
        <is>
          <t>O&amp;D 
97155</t>
        </is>
      </c>
      <c r="J21">
        <f>IF(L21="Level 1", VLOOKUP(I21, UserCodes!E:F, 2, FALSE) * H21, IF(L21="Level 2", VLOOKUP(I21, UserCodes!E:F, 2, FALSE) * H21 * 0.8, 0))</f>
        <v/>
      </c>
      <c r="K21" t="inlineStr">
        <is>
          <t>Muse, Adna</t>
        </is>
      </c>
      <c r="L21">
        <f>VLOOKUP(K21, UserCodes!A:B, 2, FALSE)</f>
        <v/>
      </c>
    </row>
    <row r="22">
      <c r="A22" t="inlineStr">
        <is>
          <t>Abdi, Safia</t>
        </is>
      </c>
      <c r="B22" s="3" t="n">
        <v>46010</v>
      </c>
      <c r="C22" t="inlineStr">
        <is>
          <t>06:30 PM - 08:00 PM</t>
        </is>
      </c>
      <c r="D22" t="inlineStr">
        <is>
          <t>01:30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I22" t="inlineStr">
        <is>
          <t>O&amp;D 
97155</t>
        </is>
      </c>
      <c r="J22">
        <f>IF(L22="Level 1", VLOOKUP(I22, UserCodes!E:F, 2, FALSE) * H22, IF(L22="Level 2", VLOOKUP(I22, UserCodes!E:F, 2, FALSE) * H22 * 0.8, 0))</f>
        <v/>
      </c>
      <c r="K22" t="inlineStr">
        <is>
          <t>Muse, Ayni</t>
        </is>
      </c>
      <c r="L22">
        <f>VLOOKUP(K22, UserCodes!A:B, 2, FALSE)</f>
        <v/>
      </c>
    </row>
    <row r="23">
      <c r="A23" t="inlineStr">
        <is>
          <t>Abdi, Safia</t>
        </is>
      </c>
      <c r="B23" s="3" t="n">
        <v>46010</v>
      </c>
      <c r="C23" t="inlineStr">
        <is>
          <t>03:15 PM - 08:00 PM</t>
        </is>
      </c>
      <c r="D23" t="inlineStr">
        <is>
          <t>04:45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I23" t="inlineStr">
        <is>
          <t>1/1 
97153</t>
        </is>
      </c>
      <c r="J23">
        <f>IF(L23="Level 1", VLOOKUP(I23, UserCodes!E:F, 2, FALSE) * H23, IF(L23="Level 2", VLOOKUP(I23, UserCodes!E:F, 2, FALSE) * H23 * 0.8, 0))</f>
        <v/>
      </c>
      <c r="K23" t="inlineStr">
        <is>
          <t>Mohamed, Mohamed</t>
        </is>
      </c>
      <c r="L23">
        <f>VLOOKUP(K23, UserCodes!A:B, 2, FALSE)</f>
        <v/>
      </c>
    </row>
    <row r="24">
      <c r="A24" t="inlineStr">
        <is>
          <t>Abdi, Safia</t>
        </is>
      </c>
      <c r="B24" s="3" t="n">
        <v>46011</v>
      </c>
      <c r="C24" t="inlineStr">
        <is>
          <t>10:00 AM - 05:00 PM</t>
        </is>
      </c>
      <c r="D24" t="inlineStr">
        <is>
          <t>07:00</t>
        </is>
      </c>
      <c r="E24">
        <f>HOUR(D24)+MINUTE(D24)/100</f>
        <v/>
      </c>
      <c r="F24">
        <f>ROUND(INT(E24) + (E24 - INT(E24)) * 100 / 60, 2)</f>
        <v/>
      </c>
      <c r="G24">
        <f>E24*4</f>
        <v/>
      </c>
      <c r="H24">
        <f>LET(total, INT(E24)*60 + (E24-INT(E24))*100, blocks, QUOTIENT(total, 15), extra, MOD(total, 15), units, blocks + IF(extra&gt;=8, 1, 0), units)</f>
        <v/>
      </c>
      <c r="I24" t="inlineStr">
        <is>
          <t>1/1 
97153</t>
        </is>
      </c>
      <c r="J24">
        <f>IF(L24="Level 1", VLOOKUP(I24, UserCodes!E:F, 2, FALSE) * H24, IF(L24="Level 2", VLOOKUP(I24, UserCodes!E:F, 2, FALSE) * H24 * 0.8, 0))</f>
        <v/>
      </c>
      <c r="K24" t="inlineStr">
        <is>
          <t>Mohamed, Mohamed</t>
        </is>
      </c>
      <c r="L24">
        <f>VLOOKUP(K24, UserCodes!A:B, 2, FALSE)</f>
        <v/>
      </c>
    </row>
    <row r="25">
      <c r="A25" t="inlineStr">
        <is>
          <t>Abdi, Safia</t>
        </is>
      </c>
      <c r="B25" s="3" t="n">
        <v>46011</v>
      </c>
      <c r="C25" t="inlineStr">
        <is>
          <t>10:00 AM - 01:00 PM</t>
        </is>
      </c>
      <c r="D25" t="inlineStr">
        <is>
          <t>03:00</t>
        </is>
      </c>
      <c r="E25">
        <f>HOUR(D25)+MINUTE(D25)/100</f>
        <v/>
      </c>
      <c r="F25">
        <f>ROUND(INT(E25) + (E25 - INT(E25)) * 100 / 60, 2)</f>
        <v/>
      </c>
      <c r="G25">
        <f>E25*4</f>
        <v/>
      </c>
      <c r="H25">
        <f>LET(total, INT(E25)*60 + (E25-INT(E25))*100, blocks, QUOTIENT(total, 15), extra, MOD(total, 15), units, blocks + IF(extra&gt;=8, 1, 0), units)</f>
        <v/>
      </c>
      <c r="I25" t="inlineStr">
        <is>
          <t>O&amp;D 
97155</t>
        </is>
      </c>
      <c r="J25">
        <f>IF(L25="Level 1", VLOOKUP(I25, UserCodes!E:F, 2, FALSE) * H25, IF(L25="Level 2", VLOOKUP(I25, UserCodes!E:F, 2, FALSE) * H25 * 0.8, 0))</f>
        <v/>
      </c>
      <c r="K25" t="inlineStr">
        <is>
          <t>Mohamed, Madar</t>
        </is>
      </c>
      <c r="L25">
        <f>VLOOKUP(K25, UserCodes!A:B, 2, FALSE)</f>
        <v/>
      </c>
    </row>
    <row r="26">
      <c r="A26" t="inlineStr">
        <is>
          <t>Abdi, Safia</t>
        </is>
      </c>
      <c r="B26" s="3" t="n">
        <v>46012</v>
      </c>
      <c r="C26" t="inlineStr">
        <is>
          <t>01:30 AM - 03:45 PM</t>
        </is>
      </c>
      <c r="D26" t="inlineStr">
        <is>
          <t>14:15</t>
        </is>
      </c>
      <c r="E26">
        <f>HOUR(D26)+MINUTE(D26)/100</f>
        <v/>
      </c>
      <c r="F26">
        <f>ROUND(INT(E26) + (E26 - INT(E26)) * 100 / 60, 2)</f>
        <v/>
      </c>
      <c r="G26">
        <f>E26*4</f>
        <v/>
      </c>
      <c r="H26">
        <f>LET(total, INT(E26)*60 + (E26-INT(E26))*100, blocks, QUOTIENT(total, 15), extra, MOD(total, 15), units, blocks + IF(extra&gt;=8, 1, 0), units)</f>
        <v/>
      </c>
      <c r="J26">
        <f>IF(L26="Level 1", VLOOKUP(I26, UserCodes!E:F, 2, FALSE) * H26, IF(L26="Level 2", VLOOKUP(I26, UserCodes!E:F, 2, FALSE) * H26 * 0.8, 0))</f>
        <v/>
      </c>
      <c r="K26" t="inlineStr">
        <is>
          <t>Ahmed, Jama</t>
        </is>
      </c>
      <c r="L26">
        <f>VLOOKUP(K26, UserCodes!A:B, 2, FALSE)</f>
        <v/>
      </c>
      <c r="M26" t="inlineStr">
        <is>
          <t>No schedule</t>
        </is>
      </c>
    </row>
    <row r="27">
      <c r="A27" t="inlineStr">
        <is>
          <t>Abdi, Safia</t>
        </is>
      </c>
      <c r="B27" s="3" t="n">
        <v>46013</v>
      </c>
      <c r="C27" t="inlineStr">
        <is>
          <t>02:00pm - 04:00pm</t>
        </is>
      </c>
      <c r="E27">
        <f>HOUR(D27)+MINUTE(D27)/100</f>
        <v/>
      </c>
      <c r="F27">
        <f>ROUND(INT(E27) + (E27 - INT(E27)) * 100 / 60, 2)</f>
        <v/>
      </c>
      <c r="G27">
        <f>E27*4</f>
        <v/>
      </c>
      <c r="H27">
        <f>LET(total, INT(E27)*60 + (E27-INT(E27))*100, blocks, QUOTIENT(total, 15), extra, MOD(total, 15), units, blocks + IF(extra&gt;=8, 1, 0), units)</f>
        <v/>
      </c>
      <c r="I27" t="inlineStr">
        <is>
          <t>O&amp;D 
97155</t>
        </is>
      </c>
      <c r="J27">
        <f>IF(L27="Level 1", VLOOKUP(I27, UserCodes!E:F, 2, FALSE) * H27, IF(L27="Level 2", VLOOKUP(I27, UserCodes!E:F, 2, FALSE) * H27 * 0.8, 0))</f>
        <v/>
      </c>
      <c r="K27" t="inlineStr">
        <is>
          <t>Ibrahim, Ahmed</t>
        </is>
      </c>
      <c r="L27">
        <f>VLOOKUP(K27, UserCodes!A:B, 2, FALSE)</f>
        <v/>
      </c>
      <c r="M27" t="inlineStr">
        <is>
          <t>No note</t>
        </is>
      </c>
    </row>
    <row r="28">
      <c r="A28" t="inlineStr">
        <is>
          <t>Abdi, Safia</t>
        </is>
      </c>
      <c r="B28" s="3" t="n">
        <v>46013</v>
      </c>
      <c r="C28" t="inlineStr">
        <is>
          <t>02:00pm - 08:00pm</t>
        </is>
      </c>
      <c r="E28">
        <f>HOUR(D28)+MINUTE(D28)/100</f>
        <v/>
      </c>
      <c r="F28">
        <f>ROUND(INT(E28) + (E28 - INT(E28)) * 100 / 60, 2)</f>
        <v/>
      </c>
      <c r="G28">
        <f>E28*4</f>
        <v/>
      </c>
      <c r="H28">
        <f>LET(total, INT(E28)*60 + (E28-INT(E28))*100, blocks, QUOTIENT(total, 15), extra, MOD(total, 15), units, blocks + IF(extra&gt;=8, 1, 0), units)</f>
        <v/>
      </c>
      <c r="I28" t="inlineStr">
        <is>
          <t>1/1 
97153</t>
        </is>
      </c>
      <c r="J28">
        <f>IF(L28="Level 1", VLOOKUP(I28, UserCodes!E:F, 2, FALSE) * H28, IF(L28="Level 2", VLOOKUP(I28, UserCodes!E:F, 2, FALSE) * H28 * 0.8, 0))</f>
        <v/>
      </c>
      <c r="K28" t="inlineStr">
        <is>
          <t>Muse, Nawaal</t>
        </is>
      </c>
      <c r="L28">
        <f>VLOOKUP(K28, UserCodes!A:B, 2, FALSE)</f>
        <v/>
      </c>
      <c r="M28" t="inlineStr">
        <is>
          <t>No note</t>
        </is>
      </c>
    </row>
    <row r="29">
      <c r="A29" t="inlineStr">
        <is>
          <t>Abdi, Safia</t>
        </is>
      </c>
      <c r="B29" s="3" t="n">
        <v>46014</v>
      </c>
      <c r="C29" t="inlineStr">
        <is>
          <t>04:00 PM - 08:00 PM</t>
        </is>
      </c>
      <c r="D29" t="inlineStr">
        <is>
          <t>04:00</t>
        </is>
      </c>
      <c r="E29">
        <f>HOUR(D29)+MINUTE(D29)/100</f>
        <v/>
      </c>
      <c r="F29">
        <f>ROUND(INT(E29) + (E29 - INT(E29)) * 100 / 60, 2)</f>
        <v/>
      </c>
      <c r="G29">
        <f>E29*4</f>
        <v/>
      </c>
      <c r="H29">
        <f>LET(total, INT(E29)*60 + (E29-INT(E29))*100, blocks, QUOTIENT(total, 15), extra, MOD(total, 15), units, blocks + IF(extra&gt;=8, 1, 0), units)</f>
        <v/>
      </c>
      <c r="I29" t="inlineStr">
        <is>
          <t>1/1 
97153</t>
        </is>
      </c>
      <c r="J29">
        <f>IF(L29="Level 1", VLOOKUP(I29, UserCodes!E:F, 2, FALSE) * H29, IF(L29="Level 2", VLOOKUP(I29, UserCodes!E:F, 2, FALSE) * H29 * 0.8, 0))</f>
        <v/>
      </c>
      <c r="K29" t="inlineStr">
        <is>
          <t>Mohamed, Samsam</t>
        </is>
      </c>
      <c r="L29">
        <f>VLOOKUP(K29, UserCodes!A:B, 2, FALSE)</f>
        <v/>
      </c>
    </row>
    <row r="30">
      <c r="A30" t="inlineStr">
        <is>
          <t>Abdi, Safia</t>
        </is>
      </c>
      <c r="B30" s="3" t="n">
        <v>46014</v>
      </c>
      <c r="C30" t="inlineStr">
        <is>
          <t>12:00 PM - 03:30 PM</t>
        </is>
      </c>
      <c r="D30" t="inlineStr">
        <is>
          <t>03:30</t>
        </is>
      </c>
      <c r="E30">
        <f>HOUR(D30)+MINUTE(D30)/100</f>
        <v/>
      </c>
      <c r="F30">
        <f>ROUND(INT(E30) + (E30 - INT(E30)) * 100 / 60, 2)</f>
        <v/>
      </c>
      <c r="G30">
        <f>E30*4</f>
        <v/>
      </c>
      <c r="H30">
        <f>LET(total, INT(E30)*60 + (E30-INT(E30))*100, blocks, QUOTIENT(total, 15), extra, MOD(total, 15), units, blocks + IF(extra&gt;=8, 1, 0), units)</f>
        <v/>
      </c>
      <c r="I30" t="inlineStr">
        <is>
          <t>1/1 
97153</t>
        </is>
      </c>
      <c r="J30">
        <f>IF(L30="Level 1", VLOOKUP(I30, UserCodes!E:F, 2, FALSE) * H30, IF(L30="Level 2", VLOOKUP(I30, UserCodes!E:F, 2, FALSE) * H30 * 0.8, 0))</f>
        <v/>
      </c>
      <c r="K30" t="inlineStr">
        <is>
          <t>Mohamed, Samsam</t>
        </is>
      </c>
      <c r="L30">
        <f>VLOOKUP(K30, UserCodes!A:B, 2, FALSE)</f>
        <v/>
      </c>
    </row>
    <row r="31">
      <c r="A31" t="inlineStr">
        <is>
          <t>Abdi, Safia</t>
        </is>
      </c>
      <c r="B31" s="3" t="n">
        <v>46014</v>
      </c>
      <c r="C31" t="inlineStr">
        <is>
          <t>04:30pm - 06:30pm</t>
        </is>
      </c>
      <c r="E31">
        <f>HOUR(D31)+MINUTE(D31)/100</f>
        <v/>
      </c>
      <c r="F31">
        <f>ROUND(INT(E31) + (E31 - INT(E31)) * 100 / 60, 2)</f>
        <v/>
      </c>
      <c r="G31">
        <f>E31*4</f>
        <v/>
      </c>
      <c r="H31">
        <f>LET(total, INT(E31)*60 + (E31-INT(E31))*100, blocks, QUOTIENT(total, 15), extra, MOD(total, 15), units, blocks + IF(extra&gt;=8, 1, 0), units)</f>
        <v/>
      </c>
      <c r="I31" t="inlineStr">
        <is>
          <t>O&amp;D 
97155</t>
        </is>
      </c>
      <c r="J31">
        <f>IF(L31="Level 1", VLOOKUP(I31, UserCodes!E:F, 2, FALSE) * H31, IF(L31="Level 2", VLOOKUP(I31, UserCodes!E:F, 2, FALSE) * H31 * 0.8, 0))</f>
        <v/>
      </c>
      <c r="K31" t="inlineStr">
        <is>
          <t>mohamed, Madar</t>
        </is>
      </c>
      <c r="L31">
        <f>VLOOKUP(K31, UserCodes!A:B, 2, FALSE)</f>
        <v/>
      </c>
      <c r="M31" t="inlineStr">
        <is>
          <t>No note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Sulub, Sharmake</t>
        </is>
      </c>
      <c r="B2" s="3" t="n">
        <v>46002</v>
      </c>
      <c r="C2" t="inlineStr">
        <is>
          <t>04:00 PM - 08:00 PM</t>
        </is>
      </c>
      <c r="D2" t="inlineStr">
        <is>
          <t>04:00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1/1 
97153</t>
        </is>
      </c>
      <c r="J2">
        <f>IF(L2="Level 1", VLOOKUP(I2, UserCodes!E:F, 2, FALSE) * H2, IF(L2="Level 2", VLOOKUP(I2, UserCodes!E:F, 2, FALSE) * H2 * 0.8, 0))</f>
        <v/>
      </c>
      <c r="K2" t="inlineStr">
        <is>
          <t>Osman, Basra</t>
        </is>
      </c>
      <c r="L2">
        <f>VLOOKUP(K2, UserCodes!A:B, 2, FALSE)</f>
        <v/>
      </c>
    </row>
    <row r="3">
      <c r="A3" t="inlineStr">
        <is>
          <t>Sulub, Sharmake</t>
        </is>
      </c>
      <c r="B3" s="3" t="n">
        <v>46003</v>
      </c>
      <c r="C3" t="inlineStr">
        <is>
          <t>06:30pm - 08:00pm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1/1 
97153</t>
        </is>
      </c>
      <c r="J3">
        <f>IF(L3="Level 1", VLOOKUP(I3, UserCodes!E:F, 2, FALSE) * H3, IF(L3="Level 2", VLOOKUP(I3, UserCodes!E:F, 2, FALSE) * H3 * 0.8, 0))</f>
        <v/>
      </c>
      <c r="K3" t="inlineStr">
        <is>
          <t>Abdulle, Zamzam</t>
        </is>
      </c>
      <c r="L3">
        <f>VLOOKUP(K3, UserCodes!A:B, 2, FALSE)</f>
        <v/>
      </c>
      <c r="M3" t="inlineStr">
        <is>
          <t>No note</t>
        </is>
      </c>
    </row>
    <row r="4">
      <c r="A4" t="inlineStr">
        <is>
          <t>Sulub, Sharmake</t>
        </is>
      </c>
      <c r="B4" s="3" t="n">
        <v>46003</v>
      </c>
      <c r="C4" t="inlineStr">
        <is>
          <t>06:30 PM - 08:00 PM</t>
        </is>
      </c>
      <c r="D4" t="inlineStr">
        <is>
          <t>01:30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O&amp;D 
97155</t>
        </is>
      </c>
      <c r="J4">
        <f>IF(L4="Level 1", VLOOKUP(I4, UserCodes!E:F, 2, FALSE) * H4, IF(L4="Level 2", VLOOKUP(I4, UserCodes!E:F, 2, FALSE) * H4 * 0.8, 0))</f>
        <v/>
      </c>
      <c r="K4" t="inlineStr">
        <is>
          <t>Ali, Nasteho</t>
        </is>
      </c>
      <c r="L4">
        <f>VLOOKUP(K4, UserCodes!A:B, 2, FALSE)</f>
        <v/>
      </c>
    </row>
    <row r="5">
      <c r="A5" t="inlineStr">
        <is>
          <t>Sulub, Sharmake</t>
        </is>
      </c>
      <c r="B5" s="3" t="n">
        <v>46004</v>
      </c>
      <c r="C5" t="inlineStr">
        <is>
          <t>12:30 PM - 02:50 PM</t>
        </is>
      </c>
      <c r="D5" t="inlineStr">
        <is>
          <t>02:20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J5">
        <f>IF(L5="Level 1", VLOOKUP(I5, UserCodes!E:F, 2, FALSE) * H5, IF(L5="Level 2", VLOOKUP(I5, UserCodes!E:F, 2, FALSE) * H5 * 0.8, 0))</f>
        <v/>
      </c>
      <c r="K5" t="inlineStr">
        <is>
          <t>Ahmed, Jama</t>
        </is>
      </c>
      <c r="L5">
        <f>VLOOKUP(K5, UserCodes!A:B, 2, FALSE)</f>
        <v/>
      </c>
      <c r="M5" t="inlineStr">
        <is>
          <t>No schedule</t>
        </is>
      </c>
    </row>
    <row r="6">
      <c r="A6" t="inlineStr">
        <is>
          <t>Sulub, Sharmake</t>
        </is>
      </c>
      <c r="B6" s="3" t="n">
        <v>46004</v>
      </c>
      <c r="C6" t="inlineStr">
        <is>
          <t>12:00 PM - 03:00 PM</t>
        </is>
      </c>
      <c r="D6" t="inlineStr">
        <is>
          <t>03:00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O&amp;D 
97155</t>
        </is>
      </c>
      <c r="J6">
        <f>IF(L6="Level 1", VLOOKUP(I6, UserCodes!E:F, 2, FALSE) * H6, IF(L6="Level 2", VLOOKUP(I6, UserCodes!E:F, 2, FALSE) * H6 * 0.8, 0))</f>
        <v/>
      </c>
      <c r="K6" t="inlineStr">
        <is>
          <t>Muse, Aaliya</t>
        </is>
      </c>
      <c r="L6">
        <f>VLOOKUP(K6, UserCodes!A:B, 2, FALSE)</f>
        <v/>
      </c>
    </row>
    <row r="7">
      <c r="A7" t="inlineStr">
        <is>
          <t>Sulub, Sharmake</t>
        </is>
      </c>
      <c r="B7" s="3" t="n">
        <v>46004</v>
      </c>
      <c r="C7" t="inlineStr">
        <is>
          <t>10:30 AM - 06:00 PM</t>
        </is>
      </c>
      <c r="D7" t="inlineStr">
        <is>
          <t>07:30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1/1 
97153</t>
        </is>
      </c>
      <c r="J7">
        <f>IF(L7="Level 1", VLOOKUP(I7, UserCodes!E:F, 2, FALSE) * H7, IF(L7="Level 2", VLOOKUP(I7, UserCodes!E:F, 2, FALSE) * H7 * 0.8, 0))</f>
        <v/>
      </c>
      <c r="K7" t="inlineStr">
        <is>
          <t>Ali, Nasteho</t>
        </is>
      </c>
      <c r="L7">
        <f>VLOOKUP(K7, UserCodes!A:B, 2, FALSE)</f>
        <v/>
      </c>
    </row>
    <row r="8">
      <c r="A8" t="inlineStr">
        <is>
          <t>Sulub, Sharmake</t>
        </is>
      </c>
      <c r="B8" s="3" t="n">
        <v>46006</v>
      </c>
      <c r="C8" t="inlineStr">
        <is>
          <t>04:00pm - 07:00pm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O&amp;D 
97155</t>
        </is>
      </c>
      <c r="J8">
        <f>IF(L8="Level 1", VLOOKUP(I8, UserCodes!E:F, 2, FALSE) * H8, IF(L8="Level 2", VLOOKUP(I8, UserCodes!E:F, 2, FALSE) * H8 * 0.8, 0))</f>
        <v/>
      </c>
      <c r="K8" t="inlineStr">
        <is>
          <t>Abdulle, Zamzam</t>
        </is>
      </c>
      <c r="L8">
        <f>VLOOKUP(K8, UserCodes!A:B, 2, FALSE)</f>
        <v/>
      </c>
      <c r="M8" t="inlineStr">
        <is>
          <t>No note</t>
        </is>
      </c>
    </row>
    <row r="9">
      <c r="A9" t="inlineStr">
        <is>
          <t>Sulub, Sharmake</t>
        </is>
      </c>
      <c r="B9" s="3" t="n">
        <v>46006</v>
      </c>
      <c r="C9" t="inlineStr">
        <is>
          <t>04:00 PM - 08:00 PM</t>
        </is>
      </c>
      <c r="D9" t="inlineStr">
        <is>
          <t>04:00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1/1 
97153</t>
        </is>
      </c>
      <c r="J9">
        <f>IF(L9="Level 1", VLOOKUP(I9, UserCodes!E:F, 2, FALSE) * H9, IF(L9="Level 2", VLOOKUP(I9, UserCodes!E:F, 2, FALSE) * H9 * 0.8, 0))</f>
        <v/>
      </c>
      <c r="K9" t="inlineStr">
        <is>
          <t>Ali, Nasteho</t>
        </is>
      </c>
      <c r="L9">
        <f>VLOOKUP(K9, UserCodes!A:B, 2, FALSE)</f>
        <v/>
      </c>
    </row>
    <row r="10">
      <c r="A10" t="inlineStr">
        <is>
          <t>Sulub, Sharmake</t>
        </is>
      </c>
      <c r="B10" s="3" t="n">
        <v>46007</v>
      </c>
      <c r="C10" t="inlineStr">
        <is>
          <t>04:00 PM - 08:00 PM</t>
        </is>
      </c>
      <c r="D10" t="inlineStr">
        <is>
          <t>04:00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1/1 
97153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Ali, Nasteho</t>
        </is>
      </c>
      <c r="L10">
        <f>VLOOKUP(K10, UserCodes!A:B, 2, FALSE)</f>
        <v/>
      </c>
    </row>
    <row r="11">
      <c r="A11" t="inlineStr">
        <is>
          <t>Sulub, Sharmake</t>
        </is>
      </c>
      <c r="B11" s="3" t="n">
        <v>46007</v>
      </c>
      <c r="C11" t="inlineStr">
        <is>
          <t>04:00pm - 07:00pm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O&amp;D 
97155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Abdulle, Zamzam</t>
        </is>
      </c>
      <c r="L11">
        <f>VLOOKUP(K11, UserCodes!A:B, 2, FALSE)</f>
        <v/>
      </c>
      <c r="M11" t="inlineStr">
        <is>
          <t>No note</t>
        </is>
      </c>
    </row>
    <row r="12">
      <c r="A12" t="inlineStr">
        <is>
          <t>Sulub, Sharmake</t>
        </is>
      </c>
      <c r="B12" s="3" t="n">
        <v>46008</v>
      </c>
      <c r="C12" t="inlineStr">
        <is>
          <t>04:00pm - 07:00pm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O&amp;D 
97155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Abdulle, Zamzam</t>
        </is>
      </c>
      <c r="L12">
        <f>VLOOKUP(K12, UserCodes!A:B, 2, FALSE)</f>
        <v/>
      </c>
      <c r="M12" t="inlineStr">
        <is>
          <t>No note</t>
        </is>
      </c>
    </row>
    <row r="13">
      <c r="A13" t="inlineStr">
        <is>
          <t>Sulub, Sharmake</t>
        </is>
      </c>
      <c r="B13" s="3" t="n">
        <v>46008</v>
      </c>
      <c r="C13" t="inlineStr">
        <is>
          <t>04:00 PM - 08:00 PM</t>
        </is>
      </c>
      <c r="D13" t="inlineStr">
        <is>
          <t>04:00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1/1 
97153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Ali, Nasteho</t>
        </is>
      </c>
      <c r="L13">
        <f>VLOOKUP(K13, UserCodes!A:B, 2, FALSE)</f>
        <v/>
      </c>
    </row>
    <row r="14">
      <c r="A14" t="inlineStr">
        <is>
          <t>Sulub, Sharmake</t>
        </is>
      </c>
      <c r="B14" s="3" t="n">
        <v>46009</v>
      </c>
      <c r="C14" t="inlineStr">
        <is>
          <t>04:00 PM - 08:00 PM</t>
        </is>
      </c>
      <c r="D14" t="inlineStr">
        <is>
          <t>04:00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1/1 
97153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Ali, Nasteho</t>
        </is>
      </c>
      <c r="L14">
        <f>VLOOKUP(K14, UserCodes!A:B, 2, FALSE)</f>
        <v/>
      </c>
    </row>
    <row r="15">
      <c r="A15" t="inlineStr">
        <is>
          <t>Sulub, Sharmake</t>
        </is>
      </c>
      <c r="B15" s="3" t="n">
        <v>46009</v>
      </c>
      <c r="C15" t="inlineStr">
        <is>
          <t>04:00 PM - 07:00 PM</t>
        </is>
      </c>
      <c r="D15" t="inlineStr">
        <is>
          <t>03:00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O&amp;D 
97155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Muse, Ayni</t>
        </is>
      </c>
      <c r="L15">
        <f>VLOOKUP(K15, UserCodes!A:B, 2, FALSE)</f>
        <v/>
      </c>
    </row>
    <row r="16">
      <c r="A16" t="inlineStr">
        <is>
          <t>Sulub, Sharmake</t>
        </is>
      </c>
      <c r="B16" s="3" t="n">
        <v>46010</v>
      </c>
      <c r="C16" t="inlineStr">
        <is>
          <t>04:00 PM - 08:00 PM</t>
        </is>
      </c>
      <c r="D16" t="inlineStr">
        <is>
          <t>04:00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1/1 
97153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Ali, Nasteho</t>
        </is>
      </c>
      <c r="L16">
        <f>VLOOKUP(K16, UserCodes!A:B, 2, FALSE)</f>
        <v/>
      </c>
    </row>
    <row r="17">
      <c r="A17" t="inlineStr">
        <is>
          <t>Sulub, Sharmake</t>
        </is>
      </c>
      <c r="B17" s="3" t="n">
        <v>46010</v>
      </c>
      <c r="C17" t="inlineStr">
        <is>
          <t>04:00pm - 07:00pm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O&amp;D 
97155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Abdulle, Zamzam</t>
        </is>
      </c>
      <c r="L17">
        <f>VLOOKUP(K17, UserCodes!A:B, 2, FALSE)</f>
        <v/>
      </c>
      <c r="M17" t="inlineStr">
        <is>
          <t>No note</t>
        </is>
      </c>
    </row>
    <row r="18">
      <c r="A18" t="inlineStr">
        <is>
          <t>Sulub, Sharmake</t>
        </is>
      </c>
      <c r="B18" s="3" t="n">
        <v>46011</v>
      </c>
      <c r="C18" t="inlineStr">
        <is>
          <t>10:00am - 01:00pm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O&amp;D 
97155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Abdulle, Zamzam</t>
        </is>
      </c>
      <c r="L18">
        <f>VLOOKUP(K18, UserCodes!A:B, 2, FALSE)</f>
        <v/>
      </c>
      <c r="M18" t="inlineStr">
        <is>
          <t>No note</t>
        </is>
      </c>
    </row>
    <row r="19">
      <c r="A19" t="inlineStr">
        <is>
          <t>Sulub, Sharmake</t>
        </is>
      </c>
      <c r="B19" s="3" t="n">
        <v>46011</v>
      </c>
      <c r="C19" t="inlineStr">
        <is>
          <t>10:00 AM - 05:30 PM</t>
        </is>
      </c>
      <c r="D19" t="inlineStr">
        <is>
          <t>07:30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1/1 
97153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Ali, Nasteho</t>
        </is>
      </c>
      <c r="L19">
        <f>VLOOKUP(K19, UserCodes!A:B, 2, FALSE)</f>
        <v/>
      </c>
    </row>
    <row r="20">
      <c r="A20" t="inlineStr">
        <is>
          <t>Sulub, Sharmake</t>
        </is>
      </c>
      <c r="B20" s="3" t="n">
        <v>46013</v>
      </c>
      <c r="C20" t="inlineStr">
        <is>
          <t>09:00am - 12:00pm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I20" t="inlineStr">
        <is>
          <t>O&amp;D 
97155</t>
        </is>
      </c>
      <c r="J20">
        <f>IF(L20="Level 1", VLOOKUP(I20, UserCodes!E:F, 2, FALSE) * H20, IF(L20="Level 2", VLOOKUP(I20, UserCodes!E:F, 2, FALSE) * H20 * 0.8, 0))</f>
        <v/>
      </c>
      <c r="K20" t="inlineStr">
        <is>
          <t>Abdulle, Zamzam</t>
        </is>
      </c>
      <c r="L20">
        <f>VLOOKUP(K20, UserCodes!A:B, 2, FALSE)</f>
        <v/>
      </c>
      <c r="M20" t="inlineStr">
        <is>
          <t>No note</t>
        </is>
      </c>
    </row>
    <row r="21">
      <c r="A21" t="inlineStr">
        <is>
          <t>Sulub, Sharmake</t>
        </is>
      </c>
      <c r="B21" s="3" t="n">
        <v>46013</v>
      </c>
      <c r="C21" t="inlineStr">
        <is>
          <t>09:00 AM - 04:30 PM</t>
        </is>
      </c>
      <c r="D21" t="inlineStr">
        <is>
          <t>07:30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I21" t="inlineStr">
        <is>
          <t>1/1 
97153</t>
        </is>
      </c>
      <c r="J21">
        <f>IF(L21="Level 1", VLOOKUP(I21, UserCodes!E:F, 2, FALSE) * H21, IF(L21="Level 2", VLOOKUP(I21, UserCodes!E:F, 2, FALSE) * H21 * 0.8, 0))</f>
        <v/>
      </c>
      <c r="K21" t="inlineStr">
        <is>
          <t>Ali, Nasteho</t>
        </is>
      </c>
      <c r="L21">
        <f>VLOOKUP(K21, UserCodes!A:B, 2, FALSE)</f>
        <v/>
      </c>
    </row>
    <row r="22">
      <c r="A22" t="inlineStr">
        <is>
          <t>Sulub, Sharmake</t>
        </is>
      </c>
      <c r="B22" s="3" t="n">
        <v>46014</v>
      </c>
      <c r="C22" t="inlineStr">
        <is>
          <t>09:00am - 05:00pm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I22" t="inlineStr">
        <is>
          <t>1/1 
97153</t>
        </is>
      </c>
      <c r="J22">
        <f>IF(L22="Level 1", VLOOKUP(I22, UserCodes!E:F, 2, FALSE) * H22, IF(L22="Level 2", VLOOKUP(I22, UserCodes!E:F, 2, FALSE) * H22 * 0.8, 0))</f>
        <v/>
      </c>
      <c r="K22" t="inlineStr">
        <is>
          <t>Mohamed, Mohamed</t>
        </is>
      </c>
      <c r="L22">
        <f>VLOOKUP(K22, UserCodes!A:B, 2, FALSE)</f>
        <v/>
      </c>
      <c r="M22" t="inlineStr">
        <is>
          <t>No note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Jama, Khadija</t>
        </is>
      </c>
      <c r="B2" s="3" t="n">
        <v>46002</v>
      </c>
      <c r="C2" t="inlineStr">
        <is>
          <t>04:30 PM - 08:00 PM</t>
        </is>
      </c>
      <c r="D2" t="inlineStr">
        <is>
          <t>03:30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1/1 
97153</t>
        </is>
      </c>
      <c r="J2">
        <f>IF(L2="Level 1", VLOOKUP(I2, UserCodes!E:F, 2, FALSE) * H2, IF(L2="Level 2", VLOOKUP(I2, UserCodes!E:F, 2, FALSE) * H2 * 0.8, 0))</f>
        <v/>
      </c>
      <c r="K2" t="inlineStr">
        <is>
          <t>Noor, Kamilo</t>
        </is>
      </c>
      <c r="L2">
        <f>VLOOKUP(K2, UserCodes!A:B, 2, FALSE)</f>
        <v/>
      </c>
    </row>
    <row r="3">
      <c r="A3" t="inlineStr">
        <is>
          <t>Jama, Khadija</t>
        </is>
      </c>
      <c r="B3" s="3" t="n">
        <v>46003</v>
      </c>
      <c r="C3" t="inlineStr">
        <is>
          <t>03:30 PM - 08:00 PM</t>
        </is>
      </c>
      <c r="D3" t="inlineStr">
        <is>
          <t>04:30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1/1 
97153</t>
        </is>
      </c>
      <c r="J3">
        <f>IF(L3="Level 1", VLOOKUP(I3, UserCodes!E:F, 2, FALSE) * H3, IF(L3="Level 2", VLOOKUP(I3, UserCodes!E:F, 2, FALSE) * H3 * 0.8, 0))</f>
        <v/>
      </c>
      <c r="K3" t="inlineStr">
        <is>
          <t>Barqab, Mushtaq</t>
        </is>
      </c>
      <c r="L3">
        <f>VLOOKUP(K3, UserCodes!A:B, 2, FALSE)</f>
        <v/>
      </c>
    </row>
    <row r="4">
      <c r="A4" t="inlineStr">
        <is>
          <t>Jama, Khadija</t>
        </is>
      </c>
      <c r="B4" s="3" t="n">
        <v>46004</v>
      </c>
      <c r="C4" t="inlineStr">
        <is>
          <t>12:00 PM - 03:00 PM</t>
        </is>
      </c>
      <c r="D4" t="inlineStr">
        <is>
          <t>03:00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O&amp;D 
97155</t>
        </is>
      </c>
      <c r="J4">
        <f>IF(L4="Level 1", VLOOKUP(I4, UserCodes!E:F, 2, FALSE) * H4, IF(L4="Level 2", VLOOKUP(I4, UserCodes!E:F, 2, FALSE) * H4 * 0.8, 0))</f>
        <v/>
      </c>
      <c r="K4" t="inlineStr">
        <is>
          <t>Muse, Ayni</t>
        </is>
      </c>
      <c r="L4">
        <f>VLOOKUP(K4, UserCodes!A:B, 2, FALSE)</f>
        <v/>
      </c>
    </row>
    <row r="5">
      <c r="A5" t="inlineStr">
        <is>
          <t>Jama, Khadija</t>
        </is>
      </c>
      <c r="B5" s="3" t="n">
        <v>46004</v>
      </c>
      <c r="C5" t="inlineStr">
        <is>
          <t>10:00am - 03:00pm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1/1 
97153</t>
        </is>
      </c>
      <c r="J5">
        <f>IF(L5="Level 1", VLOOKUP(I5, UserCodes!E:F, 2, FALSE) * H5, IF(L5="Level 2", VLOOKUP(I5, UserCodes!E:F, 2, FALSE) * H5 * 0.8, 0))</f>
        <v/>
      </c>
      <c r="K5" t="inlineStr">
        <is>
          <t>Abdulle, Zamzam</t>
        </is>
      </c>
      <c r="L5">
        <f>VLOOKUP(K5, UserCodes!A:B, 2, FALSE)</f>
        <v/>
      </c>
      <c r="M5" t="inlineStr">
        <is>
          <t>No note</t>
        </is>
      </c>
    </row>
    <row r="6">
      <c r="A6" t="inlineStr">
        <is>
          <t>Jama, Khadija</t>
        </is>
      </c>
      <c r="B6" s="3" t="n">
        <v>46004</v>
      </c>
      <c r="C6" t="inlineStr">
        <is>
          <t>03:00 PM - 06:00 PM</t>
        </is>
      </c>
      <c r="D6" t="inlineStr">
        <is>
          <t>03:00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Muse, Aaliya</t>
        </is>
      </c>
      <c r="L6">
        <f>VLOOKUP(K6, UserCodes!A:B, 2, FALSE)</f>
        <v/>
      </c>
    </row>
    <row r="7">
      <c r="A7" t="inlineStr">
        <is>
          <t>Jama, Khadija</t>
        </is>
      </c>
      <c r="B7" s="3" t="n">
        <v>46006</v>
      </c>
      <c r="C7" t="inlineStr">
        <is>
          <t>03:45 PM - 06:00 PM</t>
        </is>
      </c>
      <c r="D7" t="inlineStr">
        <is>
          <t>02:15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1/1 
97153</t>
        </is>
      </c>
      <c r="J7">
        <f>IF(L7="Level 1", VLOOKUP(I7, UserCodes!E:F, 2, FALSE) * H7, IF(L7="Level 2", VLOOKUP(I7, UserCodes!E:F, 2, FALSE) * H7 * 0.8, 0))</f>
        <v/>
      </c>
      <c r="K7" t="inlineStr">
        <is>
          <t>Barqab, Mushtaq</t>
        </is>
      </c>
      <c r="L7">
        <f>VLOOKUP(K7, UserCodes!A:B, 2, FALSE)</f>
        <v/>
      </c>
    </row>
    <row r="8">
      <c r="A8" t="inlineStr">
        <is>
          <t>Jama, Khadija</t>
        </is>
      </c>
      <c r="B8" s="3" t="n">
        <v>46009</v>
      </c>
      <c r="C8" t="inlineStr">
        <is>
          <t>03:30 PM - 07:45 PM</t>
        </is>
      </c>
      <c r="D8" t="inlineStr">
        <is>
          <t>04:15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1/1 
97153</t>
        </is>
      </c>
      <c r="J8">
        <f>IF(L8="Level 1", VLOOKUP(I8, UserCodes!E:F, 2, FALSE) * H8, IF(L8="Level 2", VLOOKUP(I8, UserCodes!E:F, 2, FALSE) * H8 * 0.8, 0))</f>
        <v/>
      </c>
      <c r="K8" t="inlineStr">
        <is>
          <t>ALI, AMIRA</t>
        </is>
      </c>
      <c r="L8">
        <f>VLOOKUP(K8, UserCodes!A:B, 2, FALSE)</f>
        <v/>
      </c>
    </row>
    <row r="9">
      <c r="A9" t="inlineStr">
        <is>
          <t>Jama, Khadija</t>
        </is>
      </c>
      <c r="B9" s="3" t="n">
        <v>46009</v>
      </c>
      <c r="C9" t="inlineStr">
        <is>
          <t>06:00 PM - 07:45 PM</t>
        </is>
      </c>
      <c r="D9" t="inlineStr">
        <is>
          <t>01:45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O&amp;D 
97155</t>
        </is>
      </c>
      <c r="J9">
        <f>IF(L9="Level 1", VLOOKUP(I9, UserCodes!E:F, 2, FALSE) * H9, IF(L9="Level 2", VLOOKUP(I9, UserCodes!E:F, 2, FALSE) * H9 * 0.8, 0))</f>
        <v/>
      </c>
      <c r="K9" t="inlineStr">
        <is>
          <t>Noor, Kamilo</t>
        </is>
      </c>
      <c r="L9">
        <f>VLOOKUP(K9, UserCodes!A:B, 2, FALSE)</f>
        <v/>
      </c>
    </row>
    <row r="10">
      <c r="A10" t="inlineStr">
        <is>
          <t>Jama, Khadija</t>
        </is>
      </c>
      <c r="B10" s="3" t="n">
        <v>46010</v>
      </c>
      <c r="C10" t="inlineStr">
        <is>
          <t>03:30 PM - 08:00 PM</t>
        </is>
      </c>
      <c r="D10" t="inlineStr">
        <is>
          <t>04:30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1/1 
97153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Hashi, Ridwan</t>
        </is>
      </c>
      <c r="L10">
        <f>VLOOKUP(K10, UserCodes!A:B, 2, FALSE)</f>
        <v/>
      </c>
    </row>
    <row r="11">
      <c r="A11" t="inlineStr">
        <is>
          <t>Jama, Khadija</t>
        </is>
      </c>
      <c r="B11" s="3" t="n">
        <v>46010</v>
      </c>
      <c r="C11" t="inlineStr">
        <is>
          <t>09:25 AM - 11:40 AM</t>
        </is>
      </c>
      <c r="D11" t="inlineStr">
        <is>
          <t>02:15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J11">
        <f>IF(L11="Level 1", VLOOKUP(I11, UserCodes!E:F, 2, FALSE) * H11, IF(L11="Level 2", VLOOKUP(I11, UserCodes!E:F, 2, FALSE) * H11 * 0.8, 0))</f>
        <v/>
      </c>
      <c r="K11" t="inlineStr">
        <is>
          <t>Ahmed, Jama</t>
        </is>
      </c>
      <c r="L11">
        <f>VLOOKUP(K11, UserCodes!A:B, 2, FALSE)</f>
        <v/>
      </c>
      <c r="M11" t="inlineStr">
        <is>
          <t>No schedule</t>
        </is>
      </c>
    </row>
    <row r="12">
      <c r="A12" t="inlineStr">
        <is>
          <t>Jama, Khadija</t>
        </is>
      </c>
      <c r="B12" s="3" t="n">
        <v>46011</v>
      </c>
      <c r="C12" t="inlineStr">
        <is>
          <t>03:00 PM - 06:00 PM</t>
        </is>
      </c>
      <c r="D12" t="inlineStr">
        <is>
          <t>03:00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O&amp;D 
97155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Muse, Adna</t>
        </is>
      </c>
      <c r="L12">
        <f>VLOOKUP(K12, UserCodes!A:B, 2, FALSE)</f>
        <v/>
      </c>
    </row>
    <row r="13">
      <c r="A13" t="inlineStr">
        <is>
          <t>Jama, Khadija</t>
        </is>
      </c>
      <c r="B13" s="3" t="n">
        <v>46011</v>
      </c>
      <c r="C13" t="inlineStr">
        <is>
          <t>10:30 AM - 06:00 PM</t>
        </is>
      </c>
      <c r="D13" t="inlineStr">
        <is>
          <t>07:30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1/1 
97153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Ran, Sameya</t>
        </is>
      </c>
      <c r="L13">
        <f>VLOOKUP(K13, UserCodes!A:B, 2, FALSE)</f>
        <v/>
      </c>
    </row>
    <row r="14">
      <c r="A14" t="inlineStr">
        <is>
          <t>Jama, Khadija</t>
        </is>
      </c>
      <c r="B14" s="3" t="n">
        <v>46013</v>
      </c>
      <c r="C14" t="inlineStr">
        <is>
          <t>04:30 PM - 06:10 PM</t>
        </is>
      </c>
      <c r="D14" t="inlineStr">
        <is>
          <t>01:40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1/1 
97153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Noor, Kamilo</t>
        </is>
      </c>
      <c r="L14">
        <f>VLOOKUP(K14, UserCodes!A:B, 2, FALSE)</f>
        <v/>
      </c>
    </row>
    <row r="15">
      <c r="A15" t="inlineStr">
        <is>
          <t>Jama, Khadija</t>
        </is>
      </c>
      <c r="B15" s="3" t="n">
        <v>46013</v>
      </c>
      <c r="C15" t="inlineStr">
        <is>
          <t>10:00 AM - 04:00 PM</t>
        </is>
      </c>
      <c r="D15" t="inlineStr">
        <is>
          <t>06:00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1/1 
97153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Noor, Kamilo</t>
        </is>
      </c>
      <c r="L15">
        <f>VLOOKUP(K15, UserCodes!A:B, 2, FALSE)</f>
        <v/>
      </c>
    </row>
    <row r="16">
      <c r="A16" t="inlineStr">
        <is>
          <t>Jama, Khadija</t>
        </is>
      </c>
      <c r="B16" s="3" t="n">
        <v>46014</v>
      </c>
      <c r="C16" t="inlineStr">
        <is>
          <t>01:30 PM - 04:30 PM</t>
        </is>
      </c>
      <c r="D16" t="inlineStr">
        <is>
          <t>03:00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1/1 
97153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Noor, Kamilo</t>
        </is>
      </c>
      <c r="L16">
        <f>VLOOKUP(K16, UserCodes!A:B, 2, FALSE)</f>
        <v/>
      </c>
    </row>
    <row r="17">
      <c r="A17" t="inlineStr">
        <is>
          <t>Jama, Khadija</t>
        </is>
      </c>
      <c r="B17" s="3" t="n">
        <v>46014</v>
      </c>
      <c r="C17" t="inlineStr">
        <is>
          <t>01:00 PM - 01:30 PM</t>
        </is>
      </c>
      <c r="D17" t="inlineStr">
        <is>
          <t>00:30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1/1 
97153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Noor, Kamilo</t>
        </is>
      </c>
      <c r="L17">
        <f>VLOOKUP(K17, UserCodes!A:B, 2, FALSE)</f>
        <v/>
      </c>
    </row>
    <row r="18">
      <c r="A18" t="inlineStr">
        <is>
          <t>Jama, Khadija</t>
        </is>
      </c>
      <c r="B18" s="3" t="n">
        <v>46014</v>
      </c>
      <c r="C18" t="inlineStr">
        <is>
          <t>09:00 AM - 01:00 PM</t>
        </is>
      </c>
      <c r="D18" t="inlineStr">
        <is>
          <t>04:00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Barqab, Mushtaq</t>
        </is>
      </c>
      <c r="L18">
        <f>VLOOKUP(K18, UserCodes!A:B, 2, FALSE)</f>
        <v/>
      </c>
    </row>
    <row r="19">
      <c r="A19" t="inlineStr">
        <is>
          <t>Jama, Khadija</t>
        </is>
      </c>
      <c r="B19" s="3" t="n">
        <v>46014</v>
      </c>
      <c r="C19" t="inlineStr">
        <is>
          <t>01:30 PM - 05:00 PM</t>
        </is>
      </c>
      <c r="D19" t="inlineStr">
        <is>
          <t>03:30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1/1 
97153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Barqab, Mushtaq</t>
        </is>
      </c>
      <c r="L19">
        <f>VLOOKUP(K19, UserCodes!A:B, 2, FALSE)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Abdi, Ahmed</t>
        </is>
      </c>
      <c r="B2" s="3" t="n">
        <v>46003</v>
      </c>
      <c r="C2" t="inlineStr">
        <is>
          <t>05:00pm - 06:00pm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I2" t="inlineStr">
        <is>
          <t>1/1 
97153</t>
        </is>
      </c>
      <c r="J2">
        <f>IF(L2="Level 1", VLOOKUP(I2, UserCodes!E:F, 2, FALSE) * H2, IF(L2="Level 2", VLOOKUP(I2, UserCodes!E:F, 2, FALSE) * H2 * 0.8, 0))</f>
        <v/>
      </c>
      <c r="K2" t="inlineStr">
        <is>
          <t>Abdulle, Zamzam</t>
        </is>
      </c>
      <c r="L2">
        <f>VLOOKUP(K2, UserCodes!A:B, 2, FALSE)</f>
        <v/>
      </c>
      <c r="M2" t="inlineStr">
        <is>
          <t>No note</t>
        </is>
      </c>
    </row>
    <row r="3">
      <c r="A3" t="inlineStr">
        <is>
          <t>Abdi, Ahmed</t>
        </is>
      </c>
      <c r="B3" s="3" t="n">
        <v>46003</v>
      </c>
      <c r="C3" t="inlineStr">
        <is>
          <t>06:00 PM - 08:00 PM</t>
        </is>
      </c>
      <c r="D3" t="inlineStr">
        <is>
          <t>02:00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I3" t="inlineStr">
        <is>
          <t>1/1 
97153</t>
        </is>
      </c>
      <c r="J3">
        <f>IF(L3="Level 1", VLOOKUP(I3, UserCodes!E:F, 2, FALSE) * H3, IF(L3="Level 2", VLOOKUP(I3, UserCodes!E:F, 2, FALSE) * H3 * 0.8, 0))</f>
        <v/>
      </c>
      <c r="K3" t="inlineStr">
        <is>
          <t>Hashi, Ridwan</t>
        </is>
      </c>
      <c r="L3">
        <f>VLOOKUP(K3, UserCodes!A:B, 2, FALSE)</f>
        <v/>
      </c>
    </row>
    <row r="4">
      <c r="A4" t="inlineStr">
        <is>
          <t>Abdi, Ahmed</t>
        </is>
      </c>
      <c r="B4" s="3" t="n">
        <v>46003</v>
      </c>
      <c r="C4" t="inlineStr">
        <is>
          <t>06:00 PM - 08:00 PM</t>
        </is>
      </c>
      <c r="D4" t="inlineStr">
        <is>
          <t>02:00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I4" t="inlineStr">
        <is>
          <t>O&amp;D 
97155</t>
        </is>
      </c>
      <c r="J4">
        <f>IF(L4="Level 1", VLOOKUP(I4, UserCodes!E:F, 2, FALSE) * H4, IF(L4="Level 2", VLOOKUP(I4, UserCodes!E:F, 2, FALSE) * H4 * 0.8, 0))</f>
        <v/>
      </c>
      <c r="K4" t="inlineStr">
        <is>
          <t>Ibrahim, Ahmed</t>
        </is>
      </c>
      <c r="L4">
        <f>VLOOKUP(K4, UserCodes!A:B, 2, FALSE)</f>
        <v/>
      </c>
    </row>
    <row r="5">
      <c r="A5" t="inlineStr">
        <is>
          <t>Abdi, Ahmed</t>
        </is>
      </c>
      <c r="B5" s="3" t="n">
        <v>46003</v>
      </c>
      <c r="C5" t="inlineStr">
        <is>
          <t>05:00 PM - 06:00 PM</t>
        </is>
      </c>
      <c r="D5" t="inlineStr">
        <is>
          <t>01:00</t>
        </is>
      </c>
      <c r="E5">
        <f>HOUR(D5)+MINUTE(D5)/100</f>
        <v/>
      </c>
      <c r="F5">
        <f>ROUND(INT(E5) + (E5 - INT(E5)) * 100 / 60, 2)</f>
        <v/>
      </c>
      <c r="G5">
        <f>E5*4</f>
        <v/>
      </c>
      <c r="H5">
        <f>LET(total, INT(E5)*60 + (E5-INT(E5))*100, blocks, QUOTIENT(total, 15), extra, MOD(total, 15), units, blocks + IF(extra&gt;=8, 1, 0), units)</f>
        <v/>
      </c>
      <c r="I5" t="inlineStr">
        <is>
          <t>O&amp;D 
97155</t>
        </is>
      </c>
      <c r="J5">
        <f>IF(L5="Level 1", VLOOKUP(I5, UserCodes!E:F, 2, FALSE) * H5, IF(L5="Level 2", VLOOKUP(I5, UserCodes!E:F, 2, FALSE) * H5 * 0.8, 0))</f>
        <v/>
      </c>
      <c r="K5" t="inlineStr">
        <is>
          <t>Ibrahim, Ahmed</t>
        </is>
      </c>
      <c r="L5">
        <f>VLOOKUP(K5, UserCodes!A:B, 2, FALSE)</f>
        <v/>
      </c>
    </row>
    <row r="6">
      <c r="A6" t="inlineStr">
        <is>
          <t>Abdi, Ahmed</t>
        </is>
      </c>
      <c r="B6" s="3" t="n">
        <v>46003</v>
      </c>
      <c r="C6" t="inlineStr">
        <is>
          <t>03:00 PM - 05:00 PM</t>
        </is>
      </c>
      <c r="D6" t="inlineStr">
        <is>
          <t>02:00</t>
        </is>
      </c>
      <c r="E6">
        <f>HOUR(D6)+MINUTE(D6)/100</f>
        <v/>
      </c>
      <c r="F6">
        <f>ROUND(INT(E6) + (E6 - INT(E6)) * 100 / 60, 2)</f>
        <v/>
      </c>
      <c r="G6">
        <f>E6*4</f>
        <v/>
      </c>
      <c r="H6">
        <f>LET(total, INT(E6)*60 + (E6-INT(E6))*100, blocks, QUOTIENT(total, 15), extra, MOD(total, 15), units, blocks + IF(extra&gt;=8, 1, 0), units)</f>
        <v/>
      </c>
      <c r="I6" t="inlineStr">
        <is>
          <t>1/1 
97153</t>
        </is>
      </c>
      <c r="J6">
        <f>IF(L6="Level 1", VLOOKUP(I6, UserCodes!E:F, 2, FALSE) * H6, IF(L6="Level 2", VLOOKUP(I6, UserCodes!E:F, 2, FALSE) * H6 * 0.8, 0))</f>
        <v/>
      </c>
      <c r="K6" t="inlineStr">
        <is>
          <t>Hawadle, Abdiaziz</t>
        </is>
      </c>
      <c r="L6">
        <f>VLOOKUP(K6, UserCodes!A:B, 2, FALSE)</f>
        <v/>
      </c>
    </row>
    <row r="7">
      <c r="A7" t="inlineStr">
        <is>
          <t>Abdi, Ahmed</t>
        </is>
      </c>
      <c r="B7" s="3" t="n">
        <v>46004</v>
      </c>
      <c r="C7" t="inlineStr">
        <is>
          <t>10:00 AM - 03:32 PM</t>
        </is>
      </c>
      <c r="D7" t="inlineStr">
        <is>
          <t>05:32</t>
        </is>
      </c>
      <c r="E7">
        <f>HOUR(D7)+MINUTE(D7)/100</f>
        <v/>
      </c>
      <c r="F7">
        <f>ROUND(INT(E7) + (E7 - INT(E7)) * 100 / 60, 2)</f>
        <v/>
      </c>
      <c r="G7">
        <f>E7*4</f>
        <v/>
      </c>
      <c r="H7">
        <f>LET(total, INT(E7)*60 + (E7-INT(E7))*100, blocks, QUOTIENT(total, 15), extra, MOD(total, 15), units, blocks + IF(extra&gt;=8, 1, 0), units)</f>
        <v/>
      </c>
      <c r="I7" t="inlineStr">
        <is>
          <t>1/1 
97153</t>
        </is>
      </c>
      <c r="J7">
        <f>IF(L7="Level 1", VLOOKUP(I7, UserCodes!E:F, 2, FALSE) * H7, IF(L7="Level 2", VLOOKUP(I7, UserCodes!E:F, 2, FALSE) * H7 * 0.8, 0))</f>
        <v/>
      </c>
      <c r="K7" t="inlineStr">
        <is>
          <t>Omar, Mohamed</t>
        </is>
      </c>
      <c r="L7">
        <f>VLOOKUP(K7, UserCodes!A:B, 2, FALSE)</f>
        <v/>
      </c>
    </row>
    <row r="8">
      <c r="A8" t="inlineStr">
        <is>
          <t>Abdi, Ahmed</t>
        </is>
      </c>
      <c r="B8" s="3" t="n">
        <v>46004</v>
      </c>
      <c r="C8" t="inlineStr">
        <is>
          <t>01:00 PM - 04:00 PM</t>
        </is>
      </c>
      <c r="D8" t="inlineStr">
        <is>
          <t>03:00</t>
        </is>
      </c>
      <c r="E8">
        <f>HOUR(D8)+MINUTE(D8)/100</f>
        <v/>
      </c>
      <c r="F8">
        <f>ROUND(INT(E8) + (E8 - INT(E8)) * 100 / 60, 2)</f>
        <v/>
      </c>
      <c r="G8">
        <f>E8*4</f>
        <v/>
      </c>
      <c r="H8">
        <f>LET(total, INT(E8)*60 + (E8-INT(E8))*100, blocks, QUOTIENT(total, 15), extra, MOD(total, 15), units, blocks + IF(extra&gt;=8, 1, 0), units)</f>
        <v/>
      </c>
      <c r="I8" t="inlineStr">
        <is>
          <t>O&amp;D 
97155</t>
        </is>
      </c>
      <c r="J8">
        <f>IF(L8="Level 1", VLOOKUP(I8, UserCodes!E:F, 2, FALSE) * H8, IF(L8="Level 2", VLOOKUP(I8, UserCodes!E:F, 2, FALSE) * H8 * 0.8, 0))</f>
        <v/>
      </c>
      <c r="K8" t="inlineStr">
        <is>
          <t>Muse, Adna</t>
        </is>
      </c>
      <c r="L8">
        <f>VLOOKUP(K8, UserCodes!A:B, 2, FALSE)</f>
        <v/>
      </c>
    </row>
    <row r="9">
      <c r="A9" t="inlineStr">
        <is>
          <t>Abdi, Ahmed</t>
        </is>
      </c>
      <c r="B9" s="3" t="n">
        <v>46004</v>
      </c>
      <c r="C9" t="inlineStr">
        <is>
          <t>04:02 PM - 06:00 PM</t>
        </is>
      </c>
      <c r="D9" t="inlineStr">
        <is>
          <t>01:58</t>
        </is>
      </c>
      <c r="E9">
        <f>HOUR(D9)+MINUTE(D9)/100</f>
        <v/>
      </c>
      <c r="F9">
        <f>ROUND(INT(E9) + (E9 - INT(E9)) * 100 / 60, 2)</f>
        <v/>
      </c>
      <c r="G9">
        <f>E9*4</f>
        <v/>
      </c>
      <c r="H9">
        <f>LET(total, INT(E9)*60 + (E9-INT(E9))*100, blocks, QUOTIENT(total, 15), extra, MOD(total, 15), units, blocks + IF(extra&gt;=8, 1, 0), units)</f>
        <v/>
      </c>
      <c r="I9" t="inlineStr">
        <is>
          <t>1/1 
97153</t>
        </is>
      </c>
      <c r="J9">
        <f>IF(L9="Level 1", VLOOKUP(I9, UserCodes!E:F, 2, FALSE) * H9, IF(L9="Level 2", VLOOKUP(I9, UserCodes!E:F, 2, FALSE) * H9 * 0.8, 0))</f>
        <v/>
      </c>
      <c r="K9" t="inlineStr">
        <is>
          <t>Omar, Mohamed</t>
        </is>
      </c>
      <c r="L9">
        <f>VLOOKUP(K9, UserCodes!A:B, 2, FALSE)</f>
        <v/>
      </c>
    </row>
    <row r="10">
      <c r="A10" t="inlineStr">
        <is>
          <t>Abdi, Ahmed</t>
        </is>
      </c>
      <c r="B10" s="3" t="n">
        <v>46006</v>
      </c>
      <c r="C10" t="inlineStr">
        <is>
          <t>03:00 PM - 06:00 PM</t>
        </is>
      </c>
      <c r="D10" t="inlineStr">
        <is>
          <t>03:00</t>
        </is>
      </c>
      <c r="E10">
        <f>HOUR(D10)+MINUTE(D10)/100</f>
        <v/>
      </c>
      <c r="F10">
        <f>ROUND(INT(E10) + (E10 - INT(E10)) * 100 / 60, 2)</f>
        <v/>
      </c>
      <c r="G10">
        <f>E10*4</f>
        <v/>
      </c>
      <c r="H10">
        <f>LET(total, INT(E10)*60 + (E10-INT(E10))*100, blocks, QUOTIENT(total, 15), extra, MOD(total, 15), units, blocks + IF(extra&gt;=8, 1, 0), units)</f>
        <v/>
      </c>
      <c r="I10" t="inlineStr">
        <is>
          <t>O&amp;D 
97155</t>
        </is>
      </c>
      <c r="J10">
        <f>IF(L10="Level 1", VLOOKUP(I10, UserCodes!E:F, 2, FALSE) * H10, IF(L10="Level 2", VLOOKUP(I10, UserCodes!E:F, 2, FALSE) * H10 * 0.8, 0))</f>
        <v/>
      </c>
      <c r="K10" t="inlineStr">
        <is>
          <t>Mohamed, Madar</t>
        </is>
      </c>
      <c r="L10">
        <f>VLOOKUP(K10, UserCodes!A:B, 2, FALSE)</f>
        <v/>
      </c>
    </row>
    <row r="11">
      <c r="A11" t="inlineStr">
        <is>
          <t>Abdi, Ahmed</t>
        </is>
      </c>
      <c r="B11" s="3" t="n">
        <v>46006</v>
      </c>
      <c r="C11" t="inlineStr">
        <is>
          <t>02:50 PM - 08:00 PM</t>
        </is>
      </c>
      <c r="D11" t="inlineStr">
        <is>
          <t>05:10</t>
        </is>
      </c>
      <c r="E11">
        <f>HOUR(D11)+MINUTE(D11)/100</f>
        <v/>
      </c>
      <c r="F11">
        <f>ROUND(INT(E11) + (E11 - INT(E11)) * 100 / 60, 2)</f>
        <v/>
      </c>
      <c r="G11">
        <f>E11*4</f>
        <v/>
      </c>
      <c r="H11">
        <f>LET(total, INT(E11)*60 + (E11-INT(E11))*100, blocks, QUOTIENT(total, 15), extra, MOD(total, 15), units, blocks + IF(extra&gt;=8, 1, 0), units)</f>
        <v/>
      </c>
      <c r="I11" t="inlineStr">
        <is>
          <t>1/1 
97153</t>
        </is>
      </c>
      <c r="J11">
        <f>IF(L11="Level 1", VLOOKUP(I11, UserCodes!E:F, 2, FALSE) * H11, IF(L11="Level 2", VLOOKUP(I11, UserCodes!E:F, 2, FALSE) * H11 * 0.8, 0))</f>
        <v/>
      </c>
      <c r="K11" t="inlineStr">
        <is>
          <t>Ibrahim, Ahmed</t>
        </is>
      </c>
      <c r="L11">
        <f>VLOOKUP(K11, UserCodes!A:B, 2, FALSE)</f>
        <v/>
      </c>
    </row>
    <row r="12">
      <c r="A12" t="inlineStr">
        <is>
          <t>Abdi, Ahmed</t>
        </is>
      </c>
      <c r="B12" s="3" t="n">
        <v>46007</v>
      </c>
      <c r="C12" t="inlineStr">
        <is>
          <t>06:00 PM - 08:00 PM</t>
        </is>
      </c>
      <c r="D12" t="inlineStr">
        <is>
          <t>02:00</t>
        </is>
      </c>
      <c r="E12">
        <f>HOUR(D12)+MINUTE(D12)/100</f>
        <v/>
      </c>
      <c r="F12">
        <f>ROUND(INT(E12) + (E12 - INT(E12)) * 100 / 60, 2)</f>
        <v/>
      </c>
      <c r="G12">
        <f>E12*4</f>
        <v/>
      </c>
      <c r="H12">
        <f>LET(total, INT(E12)*60 + (E12-INT(E12))*100, blocks, QUOTIENT(total, 15), extra, MOD(total, 15), units, blocks + IF(extra&gt;=8, 1, 0), units)</f>
        <v/>
      </c>
      <c r="I12" t="inlineStr">
        <is>
          <t>O&amp;D 
97155</t>
        </is>
      </c>
      <c r="J12">
        <f>IF(L12="Level 1", VLOOKUP(I12, UserCodes!E:F, 2, FALSE) * H12, IF(L12="Level 2", VLOOKUP(I12, UserCodes!E:F, 2, FALSE) * H12 * 0.8, 0))</f>
        <v/>
      </c>
      <c r="K12" t="inlineStr">
        <is>
          <t>Muse, Adna</t>
        </is>
      </c>
      <c r="L12">
        <f>VLOOKUP(K12, UserCodes!A:B, 2, FALSE)</f>
        <v/>
      </c>
    </row>
    <row r="13">
      <c r="A13" t="inlineStr">
        <is>
          <t>Abdi, Ahmed</t>
        </is>
      </c>
      <c r="B13" s="3" t="n">
        <v>46007</v>
      </c>
      <c r="C13" t="inlineStr">
        <is>
          <t>02:15 PM - 08:00 PM</t>
        </is>
      </c>
      <c r="D13" t="inlineStr">
        <is>
          <t>05:45</t>
        </is>
      </c>
      <c r="E13">
        <f>HOUR(D13)+MINUTE(D13)/100</f>
        <v/>
      </c>
      <c r="F13">
        <f>ROUND(INT(E13) + (E13 - INT(E13)) * 100 / 60, 2)</f>
        <v/>
      </c>
      <c r="G13">
        <f>E13*4</f>
        <v/>
      </c>
      <c r="H13">
        <f>LET(total, INT(E13)*60 + (E13-INT(E13))*100, blocks, QUOTIENT(total, 15), extra, MOD(total, 15), units, blocks + IF(extra&gt;=8, 1, 0), units)</f>
        <v/>
      </c>
      <c r="I13" t="inlineStr">
        <is>
          <t>1/1 
97153</t>
        </is>
      </c>
      <c r="J13">
        <f>IF(L13="Level 1", VLOOKUP(I13, UserCodes!E:F, 2, FALSE) * H13, IF(L13="Level 2", VLOOKUP(I13, UserCodes!E:F, 2, FALSE) * H13 * 0.8, 0))</f>
        <v/>
      </c>
      <c r="K13" t="inlineStr">
        <is>
          <t>Mohamed, Samsam</t>
        </is>
      </c>
      <c r="L13">
        <f>VLOOKUP(K13, UserCodes!A:B, 2, FALSE)</f>
        <v/>
      </c>
    </row>
    <row r="14">
      <c r="A14" t="inlineStr">
        <is>
          <t>Abdi, Ahmed</t>
        </is>
      </c>
      <c r="B14" s="3" t="n">
        <v>46008</v>
      </c>
      <c r="C14" t="inlineStr">
        <is>
          <t>05:00 PM - 08:00 PM</t>
        </is>
      </c>
      <c r="D14" t="inlineStr">
        <is>
          <t>03:00</t>
        </is>
      </c>
      <c r="E14">
        <f>HOUR(D14)+MINUTE(D14)/100</f>
        <v/>
      </c>
      <c r="F14">
        <f>ROUND(INT(E14) + (E14 - INT(E14)) * 100 / 60, 2)</f>
        <v/>
      </c>
      <c r="G14">
        <f>E14*4</f>
        <v/>
      </c>
      <c r="H14">
        <f>LET(total, INT(E14)*60 + (E14-INT(E14))*100, blocks, QUOTIENT(total, 15), extra, MOD(total, 15), units, blocks + IF(extra&gt;=8, 1, 0), units)</f>
        <v/>
      </c>
      <c r="I14" t="inlineStr">
        <is>
          <t>O&amp;D 
97155</t>
        </is>
      </c>
      <c r="J14">
        <f>IF(L14="Level 1", VLOOKUP(I14, UserCodes!E:F, 2, FALSE) * H14, IF(L14="Level 2", VLOOKUP(I14, UserCodes!E:F, 2, FALSE) * H14 * 0.8, 0))</f>
        <v/>
      </c>
      <c r="K14" t="inlineStr">
        <is>
          <t>Muse, Adna</t>
        </is>
      </c>
      <c r="L14">
        <f>VLOOKUP(K14, UserCodes!A:B, 2, FALSE)</f>
        <v/>
      </c>
    </row>
    <row r="15">
      <c r="A15" t="inlineStr">
        <is>
          <t>Abdi, Ahmed</t>
        </is>
      </c>
      <c r="B15" s="3" t="n">
        <v>46008</v>
      </c>
      <c r="C15" t="inlineStr">
        <is>
          <t>03:00 PM - 08:00 PM</t>
        </is>
      </c>
      <c r="D15" t="inlineStr">
        <is>
          <t>05:00</t>
        </is>
      </c>
      <c r="E15">
        <f>HOUR(D15)+MINUTE(D15)/100</f>
        <v/>
      </c>
      <c r="F15">
        <f>ROUND(INT(E15) + (E15 - INT(E15)) * 100 / 60, 2)</f>
        <v/>
      </c>
      <c r="G15">
        <f>E15*4</f>
        <v/>
      </c>
      <c r="H15">
        <f>LET(total, INT(E15)*60 + (E15-INT(E15))*100, blocks, QUOTIENT(total, 15), extra, MOD(total, 15), units, blocks + IF(extra&gt;=8, 1, 0), units)</f>
        <v/>
      </c>
      <c r="I15" t="inlineStr">
        <is>
          <t>1/1 
97153</t>
        </is>
      </c>
      <c r="J15">
        <f>IF(L15="Level 1", VLOOKUP(I15, UserCodes!E:F, 2, FALSE) * H15, IF(L15="Level 2", VLOOKUP(I15, UserCodes!E:F, 2, FALSE) * H15 * 0.8, 0))</f>
        <v/>
      </c>
      <c r="K15" t="inlineStr">
        <is>
          <t>Ibrahim, Ahmed</t>
        </is>
      </c>
      <c r="L15">
        <f>VLOOKUP(K15, UserCodes!A:B, 2, FALSE)</f>
        <v/>
      </c>
    </row>
    <row r="16">
      <c r="A16" t="inlineStr">
        <is>
          <t>Abdi, Ahmed</t>
        </is>
      </c>
      <c r="B16" s="3" t="n">
        <v>46009</v>
      </c>
      <c r="C16" t="inlineStr">
        <is>
          <t>03:00 PM - 06:00 PM</t>
        </is>
      </c>
      <c r="D16" t="inlineStr">
        <is>
          <t>03:00</t>
        </is>
      </c>
      <c r="E16">
        <f>HOUR(D16)+MINUTE(D16)/100</f>
        <v/>
      </c>
      <c r="F16">
        <f>ROUND(INT(E16) + (E16 - INT(E16)) * 100 / 60, 2)</f>
        <v/>
      </c>
      <c r="G16">
        <f>E16*4</f>
        <v/>
      </c>
      <c r="H16">
        <f>LET(total, INT(E16)*60 + (E16-INT(E16))*100, blocks, QUOTIENT(total, 15), extra, MOD(total, 15), units, blocks + IF(extra&gt;=8, 1, 0), units)</f>
        <v/>
      </c>
      <c r="I16" t="inlineStr">
        <is>
          <t>O&amp;D 
97155</t>
        </is>
      </c>
      <c r="J16">
        <f>IF(L16="Level 1", VLOOKUP(I16, UserCodes!E:F, 2, FALSE) * H16, IF(L16="Level 2", VLOOKUP(I16, UserCodes!E:F, 2, FALSE) * H16 * 0.8, 0))</f>
        <v/>
      </c>
      <c r="K16" t="inlineStr">
        <is>
          <t>Muse, Adna</t>
        </is>
      </c>
      <c r="L16">
        <f>VLOOKUP(K16, UserCodes!A:B, 2, FALSE)</f>
        <v/>
      </c>
    </row>
    <row r="17">
      <c r="A17" t="inlineStr">
        <is>
          <t>Abdi, Ahmed</t>
        </is>
      </c>
      <c r="B17" s="3" t="n">
        <v>46009</v>
      </c>
      <c r="C17" t="inlineStr">
        <is>
          <t>03:00 PM - 08:00 PM</t>
        </is>
      </c>
      <c r="D17" t="inlineStr">
        <is>
          <t>05:00</t>
        </is>
      </c>
      <c r="E17">
        <f>HOUR(D17)+MINUTE(D17)/100</f>
        <v/>
      </c>
      <c r="F17">
        <f>ROUND(INT(E17) + (E17 - INT(E17)) * 100 / 60, 2)</f>
        <v/>
      </c>
      <c r="G17">
        <f>E17*4</f>
        <v/>
      </c>
      <c r="H17">
        <f>LET(total, INT(E17)*60 + (E17-INT(E17))*100, blocks, QUOTIENT(total, 15), extra, MOD(total, 15), units, blocks + IF(extra&gt;=8, 1, 0), units)</f>
        <v/>
      </c>
      <c r="I17" t="inlineStr">
        <is>
          <t>1/1 
97153</t>
        </is>
      </c>
      <c r="J17">
        <f>IF(L17="Level 1", VLOOKUP(I17, UserCodes!E:F, 2, FALSE) * H17, IF(L17="Level 2", VLOOKUP(I17, UserCodes!E:F, 2, FALSE) * H17 * 0.8, 0))</f>
        <v/>
      </c>
      <c r="K17" t="inlineStr">
        <is>
          <t>Ibrahim, Ahmed</t>
        </is>
      </c>
      <c r="L17">
        <f>VLOOKUP(K17, UserCodes!A:B, 2, FALSE)</f>
        <v/>
      </c>
    </row>
    <row r="18">
      <c r="A18" t="inlineStr">
        <is>
          <t>Abdi, Ahmed</t>
        </is>
      </c>
      <c r="B18" s="3" t="n">
        <v>46010</v>
      </c>
      <c r="C18" t="inlineStr">
        <is>
          <t>03:00 PM - 08:00 PM</t>
        </is>
      </c>
      <c r="D18" t="inlineStr">
        <is>
          <t>05:00</t>
        </is>
      </c>
      <c r="E18">
        <f>HOUR(D18)+MINUTE(D18)/100</f>
        <v/>
      </c>
      <c r="F18">
        <f>ROUND(INT(E18) + (E18 - INT(E18)) * 100 / 60, 2)</f>
        <v/>
      </c>
      <c r="G18">
        <f>E18*4</f>
        <v/>
      </c>
      <c r="H18">
        <f>LET(total, INT(E18)*60 + (E18-INT(E18))*100, blocks, QUOTIENT(total, 15), extra, MOD(total, 15), units, blocks + IF(extra&gt;=8, 1, 0), units)</f>
        <v/>
      </c>
      <c r="I18" t="inlineStr">
        <is>
          <t>1/1 
97153</t>
        </is>
      </c>
      <c r="J18">
        <f>IF(L18="Level 1", VLOOKUP(I18, UserCodes!E:F, 2, FALSE) * H18, IF(L18="Level 2", VLOOKUP(I18, UserCodes!E:F, 2, FALSE) * H18 * 0.8, 0))</f>
        <v/>
      </c>
      <c r="K18" t="inlineStr">
        <is>
          <t>Ibrahim, Ahmed</t>
        </is>
      </c>
      <c r="L18">
        <f>VLOOKUP(K18, UserCodes!A:B, 2, FALSE)</f>
        <v/>
      </c>
    </row>
    <row r="19">
      <c r="A19" t="inlineStr">
        <is>
          <t>Abdi, Ahmed</t>
        </is>
      </c>
      <c r="B19" s="3" t="n">
        <v>46011</v>
      </c>
      <c r="C19" t="inlineStr">
        <is>
          <t>02:32 PM - 06:00 PM</t>
        </is>
      </c>
      <c r="D19" t="inlineStr">
        <is>
          <t>03:28</t>
        </is>
      </c>
      <c r="E19">
        <f>HOUR(D19)+MINUTE(D19)/100</f>
        <v/>
      </c>
      <c r="F19">
        <f>ROUND(INT(E19) + (E19 - INT(E19)) * 100 / 60, 2)</f>
        <v/>
      </c>
      <c r="G19">
        <f>E19*4</f>
        <v/>
      </c>
      <c r="H19">
        <f>LET(total, INT(E19)*60 + (E19-INT(E19))*100, blocks, QUOTIENT(total, 15), extra, MOD(total, 15), units, blocks + IF(extra&gt;=8, 1, 0), units)</f>
        <v/>
      </c>
      <c r="I19" t="inlineStr">
        <is>
          <t>1/1 
97153</t>
        </is>
      </c>
      <c r="J19">
        <f>IF(L19="Level 1", VLOOKUP(I19, UserCodes!E:F, 2, FALSE) * H19, IF(L19="Level 2", VLOOKUP(I19, UserCodes!E:F, 2, FALSE) * H19 * 0.8, 0))</f>
        <v/>
      </c>
      <c r="K19" t="inlineStr">
        <is>
          <t>Omar, Mohamed</t>
        </is>
      </c>
      <c r="L19">
        <f>VLOOKUP(K19, UserCodes!A:B, 2, FALSE)</f>
        <v/>
      </c>
    </row>
    <row r="20">
      <c r="A20" t="inlineStr">
        <is>
          <t>Abdi, Ahmed</t>
        </is>
      </c>
      <c r="B20" s="3" t="n">
        <v>46011</v>
      </c>
      <c r="C20" t="inlineStr">
        <is>
          <t>10:00 AM - 02:02 PM</t>
        </is>
      </c>
      <c r="D20" t="inlineStr">
        <is>
          <t>04:02</t>
        </is>
      </c>
      <c r="E20">
        <f>HOUR(D20)+MINUTE(D20)/100</f>
        <v/>
      </c>
      <c r="F20">
        <f>ROUND(INT(E20) + (E20 - INT(E20)) * 100 / 60, 2)</f>
        <v/>
      </c>
      <c r="G20">
        <f>E20*4</f>
        <v/>
      </c>
      <c r="H20">
        <f>LET(total, INT(E20)*60 + (E20-INT(E20))*100, blocks, QUOTIENT(total, 15), extra, MOD(total, 15), units, blocks + IF(extra&gt;=8, 1, 0), units)</f>
        <v/>
      </c>
      <c r="I20" t="inlineStr">
        <is>
          <t>1/1 
97153</t>
        </is>
      </c>
      <c r="J20">
        <f>IF(L20="Level 1", VLOOKUP(I20, UserCodes!E:F, 2, FALSE) * H20, IF(L20="Level 2", VLOOKUP(I20, UserCodes!E:F, 2, FALSE) * H20 * 0.8, 0))</f>
        <v/>
      </c>
      <c r="K20" t="inlineStr">
        <is>
          <t>Omar, Mohamed</t>
        </is>
      </c>
      <c r="L20">
        <f>VLOOKUP(K20, UserCodes!A:B, 2, FALSE)</f>
        <v/>
      </c>
    </row>
    <row r="21">
      <c r="A21" t="inlineStr">
        <is>
          <t>Abdi, Ahmed</t>
        </is>
      </c>
      <c r="B21" s="3" t="n">
        <v>46013</v>
      </c>
      <c r="C21" t="inlineStr">
        <is>
          <t>03:00 PM - 08:00 PM</t>
        </is>
      </c>
      <c r="D21" t="inlineStr">
        <is>
          <t>05:00</t>
        </is>
      </c>
      <c r="E21">
        <f>HOUR(D21)+MINUTE(D21)/100</f>
        <v/>
      </c>
      <c r="F21">
        <f>ROUND(INT(E21) + (E21 - INT(E21)) * 100 / 60, 2)</f>
        <v/>
      </c>
      <c r="G21">
        <f>E21*4</f>
        <v/>
      </c>
      <c r="H21">
        <f>LET(total, INT(E21)*60 + (E21-INT(E21))*100, blocks, QUOTIENT(total, 15), extra, MOD(total, 15), units, blocks + IF(extra&gt;=8, 1, 0), units)</f>
        <v/>
      </c>
      <c r="I21" t="inlineStr">
        <is>
          <t>1/1 
97153</t>
        </is>
      </c>
      <c r="J21">
        <f>IF(L21="Level 1", VLOOKUP(I21, UserCodes!E:F, 2, FALSE) * H21, IF(L21="Level 2", VLOOKUP(I21, UserCodes!E:F, 2, FALSE) * H21 * 0.8, 0))</f>
        <v/>
      </c>
      <c r="K21" t="inlineStr">
        <is>
          <t>Barqab, Mushtaq</t>
        </is>
      </c>
      <c r="L21">
        <f>VLOOKUP(K21, UserCodes!A:B, 2, FALSE)</f>
        <v/>
      </c>
    </row>
    <row r="22">
      <c r="A22" t="inlineStr">
        <is>
          <t>Abdi, Ahmed</t>
        </is>
      </c>
      <c r="B22" s="3" t="n">
        <v>46013</v>
      </c>
      <c r="C22" t="inlineStr">
        <is>
          <t>04:00pm - 07:00pm</t>
        </is>
      </c>
      <c r="E22">
        <f>HOUR(D22)+MINUTE(D22)/100</f>
        <v/>
      </c>
      <c r="F22">
        <f>ROUND(INT(E22) + (E22 - INT(E22)) * 100 / 60, 2)</f>
        <v/>
      </c>
      <c r="G22">
        <f>E22*4</f>
        <v/>
      </c>
      <c r="H22">
        <f>LET(total, INT(E22)*60 + (E22-INT(E22))*100, blocks, QUOTIENT(total, 15), extra, MOD(total, 15), units, blocks + IF(extra&gt;=8, 1, 0), units)</f>
        <v/>
      </c>
      <c r="I22" t="inlineStr">
        <is>
          <t>O&amp;D 
97155</t>
        </is>
      </c>
      <c r="J22">
        <f>IF(L22="Level 1", VLOOKUP(I22, UserCodes!E:F, 2, FALSE) * H22, IF(L22="Level 2", VLOOKUP(I22, UserCodes!E:F, 2, FALSE) * H22 * 0.8, 0))</f>
        <v/>
      </c>
      <c r="K22" t="inlineStr">
        <is>
          <t>Ibrahim, Ahmed</t>
        </is>
      </c>
      <c r="L22">
        <f>VLOOKUP(K22, UserCodes!A:B, 2, FALSE)</f>
        <v/>
      </c>
      <c r="M22" t="inlineStr">
        <is>
          <t>No note</t>
        </is>
      </c>
    </row>
    <row r="23">
      <c r="A23" t="inlineStr">
        <is>
          <t>Abdi, Ahmed</t>
        </is>
      </c>
      <c r="B23" s="3" t="n">
        <v>46014</v>
      </c>
      <c r="C23" t="inlineStr">
        <is>
          <t>06:00 PM - 08:00 PM</t>
        </is>
      </c>
      <c r="D23" t="inlineStr">
        <is>
          <t>02:00</t>
        </is>
      </c>
      <c r="E23">
        <f>HOUR(D23)+MINUTE(D23)/100</f>
        <v/>
      </c>
      <c r="F23">
        <f>ROUND(INT(E23) + (E23 - INT(E23)) * 100 / 60, 2)</f>
        <v/>
      </c>
      <c r="G23">
        <f>E23*4</f>
        <v/>
      </c>
      <c r="H23">
        <f>LET(total, INT(E23)*60 + (E23-INT(E23))*100, blocks, QUOTIENT(total, 15), extra, MOD(total, 15), units, blocks + IF(extra&gt;=8, 1, 0), units)</f>
        <v/>
      </c>
      <c r="I23" t="inlineStr">
        <is>
          <t>O&amp;D 
97155</t>
        </is>
      </c>
      <c r="J23">
        <f>IF(L23="Level 1", VLOOKUP(I23, UserCodes!E:F, 2, FALSE) * H23, IF(L23="Level 2", VLOOKUP(I23, UserCodes!E:F, 2, FALSE) * H23 * 0.8, 0))</f>
        <v/>
      </c>
      <c r="K23" t="inlineStr">
        <is>
          <t>Muse, Adna</t>
        </is>
      </c>
      <c r="L23">
        <f>VLOOKUP(K23, UserCodes!A:B, 2, FALSE)</f>
        <v/>
      </c>
    </row>
    <row r="24">
      <c r="A24" t="inlineStr">
        <is>
          <t>Abdi, Ahmed</t>
        </is>
      </c>
      <c r="B24" s="3" t="n">
        <v>46014</v>
      </c>
      <c r="C24" t="inlineStr">
        <is>
          <t>03:30pm - 08:00pm</t>
        </is>
      </c>
      <c r="E24">
        <f>HOUR(D24)+MINUTE(D24)/100</f>
        <v/>
      </c>
      <c r="F24">
        <f>ROUND(INT(E24) + (E24 - INT(E24)) * 100 / 60, 2)</f>
        <v/>
      </c>
      <c r="G24">
        <f>E24*4</f>
        <v/>
      </c>
      <c r="H24">
        <f>LET(total, INT(E24)*60 + (E24-INT(E24))*100, blocks, QUOTIENT(total, 15), extra, MOD(total, 15), units, blocks + IF(extra&gt;=8, 1, 0), units)</f>
        <v/>
      </c>
      <c r="I24" t="inlineStr">
        <is>
          <t>1/1 
97153</t>
        </is>
      </c>
      <c r="J24">
        <f>IF(L24="Level 1", VLOOKUP(I24, UserCodes!E:F, 2, FALSE) * H24, IF(L24="Level 2", VLOOKUP(I24, UserCodes!E:F, 2, FALSE) * H24 * 0.8, 0))</f>
        <v/>
      </c>
      <c r="K24" t="inlineStr">
        <is>
          <t>Ibrahim, Ahmed</t>
        </is>
      </c>
      <c r="L24">
        <f>VLOOKUP(K24, UserCodes!A:B, 2, FALSE)</f>
        <v/>
      </c>
      <c r="M24" t="inlineStr">
        <is>
          <t>No note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Service Date</t>
        </is>
      </c>
      <c r="C1" t="inlineStr">
        <is>
          <t>Session Time</t>
        </is>
      </c>
      <c r="D1" t="inlineStr">
        <is>
          <t>Session Duration</t>
        </is>
      </c>
      <c r="E1" t="inlineStr">
        <is>
          <t>Hours</t>
        </is>
      </c>
      <c r="F1" t="inlineStr">
        <is>
          <t>Pay</t>
        </is>
      </c>
      <c r="G1" t="inlineStr">
        <is>
          <t>Units</t>
        </is>
      </c>
      <c r="H1" t="inlineStr">
        <is>
          <t>FNF</t>
        </is>
      </c>
      <c r="I1" t="inlineStr">
        <is>
          <t>Code</t>
        </is>
      </c>
      <c r="J1" t="inlineStr">
        <is>
          <t>Charged Amount</t>
        </is>
      </c>
      <c r="K1" t="inlineStr">
        <is>
          <t>User</t>
        </is>
      </c>
      <c r="L1" t="inlineStr">
        <is>
          <t>Level</t>
        </is>
      </c>
      <c r="M1" t="inlineStr">
        <is>
          <t>Note</t>
        </is>
      </c>
      <c r="N1" t="inlineStr">
        <is>
          <t>Unbilled notes</t>
        </is>
      </c>
      <c r="O1" t="inlineStr">
        <is>
          <t>Expiration Date</t>
        </is>
      </c>
    </row>
    <row r="2">
      <c r="A2" t="inlineStr">
        <is>
          <t>Omar, Abdiweli</t>
        </is>
      </c>
      <c r="B2" s="3" t="n">
        <v>46005</v>
      </c>
      <c r="C2" t="inlineStr">
        <is>
          <t>01:00 PM - 05:00 PM</t>
        </is>
      </c>
      <c r="D2" t="inlineStr">
        <is>
          <t>04:00</t>
        </is>
      </c>
      <c r="E2">
        <f>HOUR(D2)+MINUTE(D2)/100</f>
        <v/>
      </c>
      <c r="F2">
        <f>ROUND(INT(E2) + (E2 - INT(E2)) * 100 / 60, 2)</f>
        <v/>
      </c>
      <c r="G2">
        <f>E2*4</f>
        <v/>
      </c>
      <c r="H2">
        <f>LET(total, INT(E2)*60 + (E2-INT(E2))*100, blocks, QUOTIENT(total, 15), extra, MOD(total, 15), units, blocks + IF(extra&gt;=8, 1, 0), units)</f>
        <v/>
      </c>
      <c r="J2">
        <f>IF(L2="Level 1", VLOOKUP(I2, UserCodes!E:F, 2, FALSE) * H2, IF(L2="Level 2", VLOOKUP(I2, UserCodes!E:F, 2, FALSE) * H2 * 0.8, 0))</f>
        <v/>
      </c>
      <c r="K2" t="inlineStr">
        <is>
          <t>Webi3, Amina</t>
        </is>
      </c>
      <c r="L2">
        <f>VLOOKUP(K2, UserCodes!A:B, 2, FALSE)</f>
        <v/>
      </c>
      <c r="M2" t="inlineStr">
        <is>
          <t>No schedule</t>
        </is>
      </c>
    </row>
    <row r="3">
      <c r="A3" t="inlineStr">
        <is>
          <t>Omar, Abdiweli</t>
        </is>
      </c>
      <c r="B3" s="3" t="n">
        <v>46006</v>
      </c>
      <c r="C3" t="inlineStr">
        <is>
          <t>06:00 PM - 10:00 PM</t>
        </is>
      </c>
      <c r="D3" t="inlineStr">
        <is>
          <t>04:00</t>
        </is>
      </c>
      <c r="E3">
        <f>HOUR(D3)+MINUTE(D3)/100</f>
        <v/>
      </c>
      <c r="F3">
        <f>ROUND(INT(E3) + (E3 - INT(E3)) * 100 / 60, 2)</f>
        <v/>
      </c>
      <c r="G3">
        <f>E3*4</f>
        <v/>
      </c>
      <c r="H3">
        <f>LET(total, INT(E3)*60 + (E3-INT(E3))*100, blocks, QUOTIENT(total, 15), extra, MOD(total, 15), units, blocks + IF(extra&gt;=8, 1, 0), units)</f>
        <v/>
      </c>
      <c r="J3">
        <f>IF(L3="Level 1", VLOOKUP(I3, UserCodes!E:F, 2, FALSE) * H3, IF(L3="Level 2", VLOOKUP(I3, UserCodes!E:F, 2, FALSE) * H3 * 0.8, 0))</f>
        <v/>
      </c>
      <c r="K3" t="inlineStr">
        <is>
          <t>Webi3, Amina</t>
        </is>
      </c>
      <c r="L3">
        <f>VLOOKUP(K3, UserCodes!A:B, 2, FALSE)</f>
        <v/>
      </c>
      <c r="M3" t="inlineStr">
        <is>
          <t>No schedule</t>
        </is>
      </c>
    </row>
    <row r="4">
      <c r="A4" t="inlineStr">
        <is>
          <t>Omar, Abdiweli</t>
        </is>
      </c>
      <c r="B4" s="3" t="n">
        <v>46012</v>
      </c>
      <c r="C4" t="inlineStr">
        <is>
          <t>01:00 PM - 06:00 PM</t>
        </is>
      </c>
      <c r="D4" t="inlineStr">
        <is>
          <t>05:00</t>
        </is>
      </c>
      <c r="E4">
        <f>HOUR(D4)+MINUTE(D4)/100</f>
        <v/>
      </c>
      <c r="F4">
        <f>ROUND(INT(E4) + (E4 - INT(E4)) * 100 / 60, 2)</f>
        <v/>
      </c>
      <c r="G4">
        <f>E4*4</f>
        <v/>
      </c>
      <c r="H4">
        <f>LET(total, INT(E4)*60 + (E4-INT(E4))*100, blocks, QUOTIENT(total, 15), extra, MOD(total, 15), units, blocks + IF(extra&gt;=8, 1, 0), units)</f>
        <v/>
      </c>
      <c r="J4">
        <f>IF(L4="Level 1", VLOOKUP(I4, UserCodes!E:F, 2, FALSE) * H4, IF(L4="Level 2", VLOOKUP(I4, UserCodes!E:F, 2, FALSE) * H4 * 0.8, 0))</f>
        <v/>
      </c>
      <c r="K4" t="inlineStr">
        <is>
          <t>Webi3, Amina</t>
        </is>
      </c>
      <c r="L4">
        <f>VLOOKUP(K4, UserCodes!A:B, 2, FALSE)</f>
        <v/>
      </c>
      <c r="M4" t="inlineStr">
        <is>
          <t>No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2025-12-26T04:43:15Z</dcterms:created>
  <dcterms:modified xsi:type="dcterms:W3CDTF">2025-12-26T04:43:15Z</dcterms:modified>
</cp:coreProperties>
</file>